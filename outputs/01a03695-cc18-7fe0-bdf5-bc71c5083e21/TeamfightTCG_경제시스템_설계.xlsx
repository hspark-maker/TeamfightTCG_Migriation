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mgJeon\TeamfightTCG_Migriation\outputs\01a03695-cc18-7fe0-bdf5-bc71c5083e21\"/>
    </mc:Choice>
  </mc:AlternateContent>
  <xr:revisionPtr revIDLastSave="0" documentId="13_ncr:1_{DAC05DBE-2606-4619-BA85-7F1825D5CC3A}" xr6:coauthVersionLast="47" xr6:coauthVersionMax="47" xr10:uidLastSave="{00000000-0000-0000-0000-000000000000}"/>
  <bookViews>
    <workbookView xWindow="2340" yWindow="2340" windowWidth="33720" windowHeight="18630" xr2:uid="{00000000-000D-0000-FFFF-FFFF00000000}"/>
  </bookViews>
  <sheets>
    <sheet name="00_설계가이드" sheetId="1" r:id="rId1"/>
    <sheet name="01_현재구현" sheetId="2" r:id="rId2"/>
    <sheet name="02_공통파라미터" sheetId="3" r:id="rId3"/>
    <sheet name="03_게임결과보상" sheetId="4" r:id="rId4"/>
    <sheet name="04_토너먼트보상" sheetId="5" r:id="rId5"/>
    <sheet name="05_앨범보상" sheetId="6" r:id="rId6"/>
    <sheet name="06_카드팩" sheetId="7" r:id="rId7"/>
    <sheet name="07_카드성장" sheetId="8" r:id="rId8"/>
    <sheet name="08_키워드성장" sheetId="9" r:id="rId9"/>
    <sheet name="09_재화흐름" sheetId="10" r:id="rId10"/>
    <sheet name="10_시뮬레이터" sheetId="11" r:id="rId11"/>
    <sheet name="11_대시보드" sheetId="12" r:id="rId12"/>
    <sheet name="12_QA" sheetId="13" r:id="rId13"/>
    <sheet name="13_출처와가정" sheetId="14" r:id="rId14"/>
  </sheets>
  <definedNames>
    <definedName name="_xlnm._FilterDatabase" localSheetId="1" hidden="1">'01_현재구현'!$A$4:$G$12</definedName>
    <definedName name="_xlnm._FilterDatabase" localSheetId="4" hidden="1">'04_토너먼트보상'!$A$4:$J$16</definedName>
    <definedName name="_xlnm._FilterDatabase" localSheetId="5" hidden="1">'05_앨범보상'!$A$4:$J$12</definedName>
    <definedName name="_xlnm._FilterDatabase" localSheetId="6" hidden="1">'06_카드팩'!$A$4:$N$13</definedName>
    <definedName name="_xlnm._FilterDatabase" localSheetId="7" hidden="1">'07_카드성장'!$A$4:$J$10</definedName>
    <definedName name="_xlnm._FilterDatabase" localSheetId="8" hidden="1">'08_키워드성장'!$A$4:$I$14</definedName>
    <definedName name="_xlnm._FilterDatabase" localSheetId="9" hidden="1">'09_재화흐름'!$A$4:$K$16</definedName>
    <definedName name="_xlnm._FilterDatabase" localSheetId="13" hidden="1">'13_출처와가정'!$A$4:$F$16</definedName>
    <definedName name="_xlnm.Print_Area" localSheetId="0">'00_설계가이드'!$A$1:$J$25</definedName>
    <definedName name="_xlnm.Print_Area" localSheetId="1">'01_현재구현'!$A$1:$J$12</definedName>
    <definedName name="_xlnm.Print_Area" localSheetId="2">'02_공통파라미터'!$A$1:$K$26</definedName>
    <definedName name="_xlnm.Print_Area" localSheetId="3">'03_게임결과보상'!$A$1:$J$8</definedName>
    <definedName name="_xlnm.Print_Area" localSheetId="4">'04_토너먼트보상'!$A$1:$J$18</definedName>
    <definedName name="_xlnm.Print_Area" localSheetId="5">'05_앨범보상'!$A$1:$J$14</definedName>
    <definedName name="_xlnm.Print_Area" localSheetId="6">'06_카드팩'!$A$1:$N$13</definedName>
    <definedName name="_xlnm.Print_Area" localSheetId="7">'07_카드성장'!$A$1:$J$10</definedName>
    <definedName name="_xlnm.Print_Area" localSheetId="8">'08_키워드성장'!$A$1:$J$14</definedName>
    <definedName name="_xlnm.Print_Area" localSheetId="9">'09_재화흐름'!$A$1:$K$16</definedName>
    <definedName name="_xlnm.Print_Area" localSheetId="10">'10_시뮬레이터'!$A$1:$K$35</definedName>
    <definedName name="_xlnm.Print_Area" localSheetId="11">'11_대시보드'!$A$1:$J$9</definedName>
    <definedName name="_xlnm.Print_Area" localSheetId="12">'12_QA'!$A$1:$J$18</definedName>
    <definedName name="_xlnm.Print_Area" localSheetId="13">'13_출처와가정'!$A$1:$J$16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3" l="1"/>
  <c r="C11" i="13"/>
  <c r="C10" i="13"/>
  <c r="C9" i="13"/>
  <c r="C8" i="13"/>
  <c r="C7" i="13"/>
  <c r="C6" i="13"/>
  <c r="C5" i="13"/>
  <c r="E9" i="12"/>
  <c r="E8" i="12"/>
  <c r="E7" i="12"/>
  <c r="E6" i="12"/>
  <c r="B6" i="12"/>
  <c r="E5" i="12"/>
  <c r="F5" i="11"/>
  <c r="E5" i="11"/>
  <c r="D5" i="11"/>
  <c r="C5" i="11"/>
  <c r="B5" i="11"/>
  <c r="J16" i="10"/>
  <c r="G16" i="10"/>
  <c r="J15" i="10"/>
  <c r="G15" i="10"/>
  <c r="J14" i="10"/>
  <c r="G14" i="10"/>
  <c r="F14" i="10"/>
  <c r="J13" i="10"/>
  <c r="G13" i="10"/>
  <c r="J12" i="10"/>
  <c r="G12" i="10"/>
  <c r="J11" i="10"/>
  <c r="G11" i="10"/>
  <c r="J10" i="10"/>
  <c r="J9" i="10"/>
  <c r="J8" i="10"/>
  <c r="J7" i="10"/>
  <c r="J6" i="10"/>
  <c r="J5" i="10"/>
  <c r="I14" i="9"/>
  <c r="H14" i="9"/>
  <c r="I13" i="9"/>
  <c r="H13" i="9"/>
  <c r="I12" i="9"/>
  <c r="H12" i="9"/>
  <c r="I11" i="9"/>
  <c r="H11" i="9"/>
  <c r="I10" i="9"/>
  <c r="H10" i="9"/>
  <c r="I9" i="9"/>
  <c r="H9" i="9"/>
  <c r="I8" i="9"/>
  <c r="H8" i="9"/>
  <c r="I7" i="9"/>
  <c r="H7" i="9"/>
  <c r="I6" i="9"/>
  <c r="H6" i="9"/>
  <c r="I5" i="9"/>
  <c r="H5" i="9"/>
  <c r="J10" i="8"/>
  <c r="G10" i="8"/>
  <c r="J9" i="8"/>
  <c r="G9" i="8"/>
  <c r="J8" i="8"/>
  <c r="G8" i="8"/>
  <c r="H8" i="8" s="1"/>
  <c r="J7" i="8"/>
  <c r="G7" i="8"/>
  <c r="J6" i="8"/>
  <c r="G6" i="8"/>
  <c r="J5" i="8"/>
  <c r="G5" i="8"/>
  <c r="N13" i="7"/>
  <c r="K13" i="7"/>
  <c r="J13" i="7"/>
  <c r="M13" i="7" s="1"/>
  <c r="N12" i="7"/>
  <c r="K12" i="7"/>
  <c r="J12" i="7"/>
  <c r="M12" i="7" s="1"/>
  <c r="G12" i="7"/>
  <c r="N11" i="7"/>
  <c r="K11" i="7"/>
  <c r="J11" i="7"/>
  <c r="M11" i="7" s="1"/>
  <c r="G11" i="7"/>
  <c r="N10" i="7"/>
  <c r="K10" i="7"/>
  <c r="J10" i="7"/>
  <c r="M10" i="7" s="1"/>
  <c r="G10" i="7"/>
  <c r="N9" i="7"/>
  <c r="K9" i="7"/>
  <c r="J9" i="7"/>
  <c r="M9" i="7" s="1"/>
  <c r="G9" i="7"/>
  <c r="N8" i="7"/>
  <c r="K8" i="7"/>
  <c r="J8" i="7"/>
  <c r="M8" i="7" s="1"/>
  <c r="G8" i="7"/>
  <c r="N7" i="7"/>
  <c r="K7" i="7"/>
  <c r="J7" i="7"/>
  <c r="M7" i="7" s="1"/>
  <c r="G7" i="7"/>
  <c r="F12" i="10" s="1"/>
  <c r="N6" i="7"/>
  <c r="K6" i="7"/>
  <c r="J6" i="7"/>
  <c r="M6" i="7" s="1"/>
  <c r="G6" i="7"/>
  <c r="N5" i="7"/>
  <c r="K5" i="7"/>
  <c r="J5" i="7"/>
  <c r="M5" i="7" s="1"/>
  <c r="G5" i="7"/>
  <c r="F11" i="10" s="1"/>
  <c r="J12" i="6"/>
  <c r="G12" i="6"/>
  <c r="H12" i="6" s="1"/>
  <c r="J11" i="6"/>
  <c r="G11" i="6"/>
  <c r="H11" i="6" s="1"/>
  <c r="J10" i="6"/>
  <c r="G10" i="6"/>
  <c r="H10" i="6" s="1"/>
  <c r="J9" i="6"/>
  <c r="G9" i="6"/>
  <c r="H9" i="6" s="1"/>
  <c r="J8" i="6"/>
  <c r="G8" i="6"/>
  <c r="H8" i="6" s="1"/>
  <c r="J7" i="6"/>
  <c r="G7" i="6"/>
  <c r="H7" i="6" s="1"/>
  <c r="J6" i="6"/>
  <c r="G6" i="6"/>
  <c r="H6" i="6" s="1"/>
  <c r="J5" i="6"/>
  <c r="G5" i="6"/>
  <c r="H5" i="6" s="1"/>
  <c r="J16" i="5"/>
  <c r="G16" i="5"/>
  <c r="H16" i="5" s="1"/>
  <c r="J15" i="5"/>
  <c r="G15" i="5"/>
  <c r="H15" i="5" s="1"/>
  <c r="J14" i="5"/>
  <c r="G14" i="5"/>
  <c r="H14" i="5" s="1"/>
  <c r="J13" i="5"/>
  <c r="G13" i="5"/>
  <c r="H13" i="5" s="1"/>
  <c r="J12" i="5"/>
  <c r="G12" i="5"/>
  <c r="H12" i="5" s="1"/>
  <c r="J11" i="5"/>
  <c r="G11" i="5"/>
  <c r="H11" i="5" s="1"/>
  <c r="J10" i="5"/>
  <c r="G10" i="5"/>
  <c r="H10" i="5" s="1"/>
  <c r="J9" i="5"/>
  <c r="G9" i="5"/>
  <c r="H9" i="5" s="1"/>
  <c r="J8" i="5"/>
  <c r="G8" i="5"/>
  <c r="H8" i="5" s="1"/>
  <c r="J7" i="5"/>
  <c r="G7" i="5"/>
  <c r="H7" i="5" s="1"/>
  <c r="J6" i="5"/>
  <c r="G6" i="5"/>
  <c r="H6" i="5" s="1"/>
  <c r="J5" i="5"/>
  <c r="G5" i="5"/>
  <c r="H5" i="5" s="1"/>
  <c r="G6" i="4"/>
  <c r="F6" i="10" s="1"/>
  <c r="F5" i="4"/>
  <c r="G5" i="4" s="1"/>
  <c r="C5" i="4"/>
  <c r="H5" i="4" s="1"/>
  <c r="G5" i="10" s="1"/>
  <c r="F8" i="10" l="1"/>
  <c r="H8" i="10" s="1"/>
  <c r="I8" i="10" s="1"/>
  <c r="H12" i="10"/>
  <c r="C6" i="12" s="1"/>
  <c r="D6" i="12" s="1"/>
  <c r="F6" i="12" s="1"/>
  <c r="G6" i="12" s="1"/>
  <c r="F10" i="10"/>
  <c r="H10" i="10" s="1"/>
  <c r="I10" i="10" s="1"/>
  <c r="H10" i="8"/>
  <c r="L5" i="7"/>
  <c r="F15" i="10" s="1"/>
  <c r="H15" i="10" s="1"/>
  <c r="I15" i="10" s="1"/>
  <c r="L11" i="7"/>
  <c r="H9" i="8"/>
  <c r="H14" i="6"/>
  <c r="L9" i="7"/>
  <c r="H14" i="10"/>
  <c r="I14" i="10" s="1"/>
  <c r="H6" i="8"/>
  <c r="H5" i="8"/>
  <c r="H7" i="8"/>
  <c r="L12" i="7"/>
  <c r="H11" i="10"/>
  <c r="I11" i="10" s="1"/>
  <c r="L13" i="7"/>
  <c r="F13" i="10"/>
  <c r="H13" i="10" s="1"/>
  <c r="I13" i="10" s="1"/>
  <c r="C16" i="13"/>
  <c r="F5" i="10"/>
  <c r="I5" i="4"/>
  <c r="H18" i="5"/>
  <c r="L8" i="7"/>
  <c r="F7" i="10"/>
  <c r="H7" i="10" s="1"/>
  <c r="L6" i="7"/>
  <c r="C6" i="4"/>
  <c r="H6" i="4" s="1"/>
  <c r="G6" i="10" s="1"/>
  <c r="H6" i="10" s="1"/>
  <c r="I6" i="10" s="1"/>
  <c r="F9" i="10"/>
  <c r="H9" i="10" s="1"/>
  <c r="I9" i="10" s="1"/>
  <c r="F16" i="10"/>
  <c r="H16" i="10" s="1"/>
  <c r="L7" i="7"/>
  <c r="L10" i="7"/>
  <c r="B9" i="12" l="1"/>
  <c r="C8" i="12"/>
  <c r="I12" i="10"/>
  <c r="H15" i="11" s="1"/>
  <c r="B8" i="12"/>
  <c r="C5" i="12"/>
  <c r="C7" i="12"/>
  <c r="C14" i="13"/>
  <c r="I6" i="4"/>
  <c r="J6" i="4" s="1"/>
  <c r="C9" i="12"/>
  <c r="I16" i="10"/>
  <c r="K10" i="11" s="1"/>
  <c r="I7" i="10"/>
  <c r="B7" i="12"/>
  <c r="J28" i="11"/>
  <c r="J12" i="11"/>
  <c r="J20" i="11"/>
  <c r="J7" i="11"/>
  <c r="J31" i="11"/>
  <c r="J23" i="11"/>
  <c r="J15" i="11"/>
  <c r="J26" i="11"/>
  <c r="J18" i="11"/>
  <c r="J34" i="11"/>
  <c r="J10" i="11"/>
  <c r="J29" i="11"/>
  <c r="J21" i="11"/>
  <c r="J13" i="11"/>
  <c r="J5" i="11"/>
  <c r="J33" i="11"/>
  <c r="J32" i="11"/>
  <c r="J24" i="11"/>
  <c r="J16" i="11"/>
  <c r="J8" i="11"/>
  <c r="J17" i="11"/>
  <c r="J25" i="11"/>
  <c r="J35" i="11"/>
  <c r="J27" i="11"/>
  <c r="J19" i="11"/>
  <c r="J11" i="11"/>
  <c r="J9" i="11"/>
  <c r="J30" i="11"/>
  <c r="J22" i="11"/>
  <c r="J14" i="11"/>
  <c r="J6" i="11"/>
  <c r="E6" i="11" s="1"/>
  <c r="J5" i="4"/>
  <c r="H5" i="10"/>
  <c r="C13" i="13" s="1"/>
  <c r="H16" i="11" l="1"/>
  <c r="D9" i="12"/>
  <c r="F9" i="12" s="1"/>
  <c r="G9" i="12" s="1"/>
  <c r="K24" i="11"/>
  <c r="K27" i="11"/>
  <c r="H22" i="11"/>
  <c r="H14" i="11"/>
  <c r="H8" i="11"/>
  <c r="H5" i="11"/>
  <c r="H9" i="11"/>
  <c r="H11" i="11"/>
  <c r="H10" i="11"/>
  <c r="H34" i="11"/>
  <c r="K20" i="11"/>
  <c r="K11" i="11"/>
  <c r="H32" i="11"/>
  <c r="H28" i="11"/>
  <c r="H12" i="11"/>
  <c r="H6" i="11"/>
  <c r="C6" i="11" s="1"/>
  <c r="K13" i="11"/>
  <c r="H30" i="11"/>
  <c r="H26" i="11"/>
  <c r="H20" i="11"/>
  <c r="D7" i="12"/>
  <c r="F7" i="12" s="1"/>
  <c r="G7" i="12" s="1"/>
  <c r="K21" i="11"/>
  <c r="K18" i="11"/>
  <c r="I8" i="4"/>
  <c r="K17" i="11"/>
  <c r="H24" i="11"/>
  <c r="H7" i="11"/>
  <c r="H13" i="11"/>
  <c r="H33" i="11"/>
  <c r="K23" i="11"/>
  <c r="H21" i="11"/>
  <c r="H17" i="11"/>
  <c r="K31" i="11"/>
  <c r="H29" i="11"/>
  <c r="H25" i="11"/>
  <c r="H18" i="11"/>
  <c r="K25" i="11"/>
  <c r="H19" i="11"/>
  <c r="H23" i="11"/>
  <c r="K9" i="11"/>
  <c r="H27" i="11"/>
  <c r="H31" i="11"/>
  <c r="K19" i="11"/>
  <c r="H35" i="11"/>
  <c r="D8" i="12"/>
  <c r="F8" i="12" s="1"/>
  <c r="G8" i="12" s="1"/>
  <c r="J8" i="4"/>
  <c r="K6" i="11"/>
  <c r="F6" i="11" s="1"/>
  <c r="K26" i="11"/>
  <c r="K14" i="11"/>
  <c r="K34" i="11"/>
  <c r="K22" i="11"/>
  <c r="K7" i="11"/>
  <c r="K30" i="11"/>
  <c r="K15" i="11"/>
  <c r="K35" i="11"/>
  <c r="K5" i="11"/>
  <c r="K8" i="11"/>
  <c r="K29" i="11"/>
  <c r="K16" i="11"/>
  <c r="K12" i="11"/>
  <c r="K32" i="11"/>
  <c r="K28" i="11"/>
  <c r="K33" i="11"/>
  <c r="E7" i="11"/>
  <c r="E8" i="11" s="1"/>
  <c r="E9" i="11" s="1"/>
  <c r="E10" i="11" s="1"/>
  <c r="E11" i="11" s="1"/>
  <c r="E12" i="11" s="1"/>
  <c r="E13" i="11" s="1"/>
  <c r="E14" i="11" s="1"/>
  <c r="E15" i="11" s="1"/>
  <c r="E16" i="11" s="1"/>
  <c r="E17" i="11" s="1"/>
  <c r="E18" i="11" s="1"/>
  <c r="E19" i="11" s="1"/>
  <c r="E20" i="11" s="1"/>
  <c r="E21" i="11" s="1"/>
  <c r="E22" i="11" s="1"/>
  <c r="E23" i="11" s="1"/>
  <c r="E24" i="11" s="1"/>
  <c r="E25" i="11" s="1"/>
  <c r="E26" i="11" s="1"/>
  <c r="E27" i="11" s="1"/>
  <c r="E28" i="11" s="1"/>
  <c r="E29" i="11" s="1"/>
  <c r="E30" i="11" s="1"/>
  <c r="E31" i="11" s="1"/>
  <c r="E32" i="11" s="1"/>
  <c r="E33" i="11" s="1"/>
  <c r="E34" i="11" s="1"/>
  <c r="E35" i="11" s="1"/>
  <c r="I5" i="10"/>
  <c r="B5" i="12"/>
  <c r="D5" i="12" s="1"/>
  <c r="F5" i="12" s="1"/>
  <c r="I33" i="11"/>
  <c r="I25" i="11"/>
  <c r="I17" i="11"/>
  <c r="I9" i="11"/>
  <c r="I10" i="11"/>
  <c r="I28" i="11"/>
  <c r="I20" i="11"/>
  <c r="I12" i="11"/>
  <c r="I26" i="11"/>
  <c r="I31" i="11"/>
  <c r="I23" i="11"/>
  <c r="I15" i="11"/>
  <c r="I7" i="11"/>
  <c r="I18" i="11"/>
  <c r="I34" i="11"/>
  <c r="I29" i="11"/>
  <c r="I21" i="11"/>
  <c r="I13" i="11"/>
  <c r="I5" i="11"/>
  <c r="I16" i="11"/>
  <c r="I32" i="11"/>
  <c r="I24" i="11"/>
  <c r="I8" i="11"/>
  <c r="I35" i="11"/>
  <c r="I27" i="11"/>
  <c r="I19" i="11"/>
  <c r="I11" i="11"/>
  <c r="I30" i="11"/>
  <c r="I22" i="11"/>
  <c r="I14" i="11"/>
  <c r="I6" i="11"/>
  <c r="D6" i="11" s="1"/>
  <c r="C7" i="11" l="1"/>
  <c r="C8" i="11" s="1"/>
  <c r="C9" i="11" s="1"/>
  <c r="C10" i="11" s="1"/>
  <c r="C11" i="11" s="1"/>
  <c r="C12" i="11" s="1"/>
  <c r="C13" i="11" s="1"/>
  <c r="C14" i="11" s="1"/>
  <c r="C15" i="11" s="1"/>
  <c r="C16" i="11" s="1"/>
  <c r="C17" i="11" s="1"/>
  <c r="C18" i="11" s="1"/>
  <c r="C19" i="11" s="1"/>
  <c r="C20" i="11" s="1"/>
  <c r="C21" i="11" s="1"/>
  <c r="C22" i="11" s="1"/>
  <c r="C23" i="11" s="1"/>
  <c r="C24" i="11" s="1"/>
  <c r="C25" i="11" s="1"/>
  <c r="C26" i="11" s="1"/>
  <c r="C27" i="11" s="1"/>
  <c r="C28" i="11" s="1"/>
  <c r="C29" i="11" s="1"/>
  <c r="C30" i="11" s="1"/>
  <c r="C31" i="11" s="1"/>
  <c r="C32" i="11" s="1"/>
  <c r="C33" i="11" s="1"/>
  <c r="C34" i="11" s="1"/>
  <c r="C35" i="11" s="1"/>
  <c r="D7" i="11"/>
  <c r="D8" i="11" s="1"/>
  <c r="D9" i="11" s="1"/>
  <c r="D10" i="11" s="1"/>
  <c r="D11" i="11" s="1"/>
  <c r="D12" i="11" s="1"/>
  <c r="D13" i="11" s="1"/>
  <c r="D14" i="11" s="1"/>
  <c r="D15" i="11" s="1"/>
  <c r="D16" i="11" s="1"/>
  <c r="D17" i="11" s="1"/>
  <c r="D18" i="11" s="1"/>
  <c r="D19" i="11" s="1"/>
  <c r="D20" i="11" s="1"/>
  <c r="D21" i="11" s="1"/>
  <c r="D22" i="11" s="1"/>
  <c r="D23" i="11" s="1"/>
  <c r="D24" i="11" s="1"/>
  <c r="D25" i="11" s="1"/>
  <c r="D26" i="11" s="1"/>
  <c r="D27" i="11" s="1"/>
  <c r="D28" i="11" s="1"/>
  <c r="D29" i="11" s="1"/>
  <c r="D30" i="11" s="1"/>
  <c r="D31" i="11" s="1"/>
  <c r="D32" i="11" s="1"/>
  <c r="D33" i="11" s="1"/>
  <c r="D34" i="11" s="1"/>
  <c r="D35" i="11" s="1"/>
  <c r="F7" i="11"/>
  <c r="F8" i="11" s="1"/>
  <c r="F9" i="11" s="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G30" i="11"/>
  <c r="G22" i="11"/>
  <c r="G14" i="11"/>
  <c r="G6" i="11"/>
  <c r="B6" i="11" s="1"/>
  <c r="G23" i="11"/>
  <c r="G15" i="11"/>
  <c r="G33" i="11"/>
  <c r="G25" i="11"/>
  <c r="G17" i="11"/>
  <c r="G9" i="11"/>
  <c r="G28" i="11"/>
  <c r="G20" i="11"/>
  <c r="G12" i="11"/>
  <c r="G31" i="11"/>
  <c r="G7" i="11"/>
  <c r="G34" i="11"/>
  <c r="G26" i="11"/>
  <c r="G18" i="11"/>
  <c r="G10" i="11"/>
  <c r="G21" i="11"/>
  <c r="G5" i="11"/>
  <c r="G29" i="11"/>
  <c r="G13" i="11"/>
  <c r="G32" i="11"/>
  <c r="G24" i="11"/>
  <c r="G16" i="11"/>
  <c r="G8" i="11"/>
  <c r="G35" i="11"/>
  <c r="G27" i="11"/>
  <c r="G19" i="11"/>
  <c r="G11" i="11"/>
  <c r="C15" i="13"/>
  <c r="B18" i="13" s="1"/>
  <c r="G5" i="12"/>
  <c r="B7" i="11" l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7" authorId="0" shapeId="0" xr:uid="{00000000-0006-0000-0200-000001000000}">
      <text>
        <r>
          <rPr>
            <sz val="11"/>
            <color theme="1"/>
            <rFont val="맑은 고딕"/>
            <family val="2"/>
            <scheme val="minor"/>
          </rPr>
          <t>가정값입니다. 실제 플레이테스트 또는 운영 로그로 교체하세요.</t>
        </r>
      </text>
    </comment>
    <comment ref="C7" authorId="0" shapeId="0" xr:uid="{00000000-0006-0000-0200-000002000000}">
      <text>
        <r>
          <rPr>
            <sz val="11"/>
            <color theme="1"/>
            <rFont val="맑은 고딕"/>
            <family val="2"/>
            <scheme val="minor"/>
          </rPr>
          <t>가정값입니다. 실제 플레이테스트 또는 운영 로그로 교체하세요.</t>
        </r>
      </text>
    </comment>
    <comment ref="D7" authorId="0" shapeId="0" xr:uid="{00000000-0006-0000-0200-000003000000}">
      <text>
        <r>
          <rPr>
            <sz val="11"/>
            <color theme="1"/>
            <rFont val="맑은 고딕"/>
            <family val="2"/>
            <scheme val="minor"/>
          </rPr>
          <t>가정값입니다. 실제 플레이테스트 또는 운영 로그로 교체하세요.</t>
        </r>
      </text>
    </comment>
    <comment ref="E7" authorId="0" shapeId="0" xr:uid="{00000000-0006-0000-0200-000004000000}">
      <text>
        <r>
          <rPr>
            <sz val="11"/>
            <color theme="1"/>
            <rFont val="맑은 고딕"/>
            <family val="2"/>
            <scheme val="minor"/>
          </rPr>
          <t>가정값입니다. 실제 플레이테스트 또는 운영 로그로 교체하세요.</t>
        </r>
      </text>
    </comment>
    <comment ref="F7" authorId="0" shapeId="0" xr:uid="{00000000-0006-0000-0200-000005000000}">
      <text>
        <r>
          <rPr>
            <sz val="11"/>
            <color theme="1"/>
            <rFont val="맑은 고딕"/>
            <family val="2"/>
            <scheme val="minor"/>
          </rPr>
          <t>가정값입니다. 실제 플레이테스트 또는 운영 로그로 교체하세요.</t>
        </r>
      </text>
    </comment>
    <comment ref="G7" authorId="0" shapeId="0" xr:uid="{00000000-0006-0000-0200-000006000000}">
      <text>
        <r>
          <rPr>
            <sz val="11"/>
            <color theme="1"/>
            <rFont val="맑은 고딕"/>
            <family val="2"/>
            <scheme val="minor"/>
          </rPr>
          <t>가정값입니다. 실제 플레이테스트 또는 운영 로그로 교체하세요.</t>
        </r>
      </text>
    </comment>
    <comment ref="H7" authorId="0" shapeId="0" xr:uid="{00000000-0006-0000-0200-000007000000}">
      <text>
        <r>
          <rPr>
            <sz val="11"/>
            <color theme="1"/>
            <rFont val="맑은 고딕"/>
            <family val="2"/>
            <scheme val="minor"/>
          </rPr>
          <t>가정값입니다. 실제 플레이테스트 또는 운영 로그로 교체하세요.</t>
        </r>
      </text>
    </comment>
    <comment ref="I7" authorId="0" shapeId="0" xr:uid="{00000000-0006-0000-0200-000008000000}">
      <text>
        <r>
          <rPr>
            <sz val="11"/>
            <color theme="1"/>
            <rFont val="맑은 고딕"/>
            <family val="2"/>
            <scheme val="minor"/>
          </rPr>
          <t>가정값입니다. 실제 플레이테스트 또는 운영 로그로 교체하세요.</t>
        </r>
      </text>
    </comment>
    <comment ref="J7" authorId="0" shapeId="0" xr:uid="{00000000-0006-0000-0200-000009000000}">
      <text>
        <r>
          <rPr>
            <sz val="11"/>
            <color theme="1"/>
            <rFont val="맑은 고딕"/>
            <family val="2"/>
            <scheme val="minor"/>
          </rPr>
          <t>가정값입니다. 실제 플레이테스트 또는 운영 로그로 교체하세요.</t>
        </r>
      </text>
    </comment>
    <comment ref="K7" authorId="0" shapeId="0" xr:uid="{00000000-0006-0000-0200-00000A000000}">
      <text>
        <r>
          <rPr>
            <sz val="11"/>
            <color theme="1"/>
            <rFont val="맑은 고딕"/>
            <family val="2"/>
            <scheme val="minor"/>
          </rPr>
          <t>가정값입니다. 실제 플레이테스트 또는 운영 로그로 교체하세요.</t>
        </r>
      </text>
    </comment>
    <comment ref="B20" authorId="0" shapeId="0" xr:uid="{00000000-0006-0000-0200-00000B000000}">
      <text>
        <r>
          <rPr>
            <sz val="11"/>
            <color theme="1"/>
            <rFont val="맑은 고딕"/>
            <family val="2"/>
            <scheme val="minor"/>
          </rPr>
          <t>현재 NormalPack 폴백 110보다 높은 제안가입니다. 표준 시나리오에서 주 2팩 소비를 목표로 둔 초기안입니다.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5" authorId="0" shapeId="0" xr:uid="{00000000-0006-0000-0400-000001000000}">
      <text>
        <r>
          <rPr>
            <sz val="11"/>
            <color theme="1"/>
            <rFont val="맑은 고딕"/>
            <family val="2"/>
            <scheme val="minor"/>
          </rPr>
          <t>Energy·Shard는 토너먼트/앨범에서만 수급한다는 고정 규칙을 반영한 초기 제안량입니다.</t>
        </r>
      </text>
    </comment>
  </commentList>
</comments>
</file>

<file path=xl/sharedStrings.xml><?xml version="1.0" encoding="utf-8"?>
<sst xmlns="http://schemas.openxmlformats.org/spreadsheetml/2006/main" count="700" uniqueCount="441">
  <si>
    <t>TeamfightTCG 경제시스템 설계</t>
  </si>
  <si>
    <t>현재 프로젝트 구현값과 레퍼런스 구조를 바탕으로, 재화별 수급 경로당 수량과 소비 속도를 조정하는 워크북입니다.</t>
  </si>
  <si>
    <t>고정 경제 규칙</t>
  </si>
  <si>
    <t>구분</t>
  </si>
  <si>
    <t>고정 규칙</t>
  </si>
  <si>
    <t>모델 반영</t>
  </si>
  <si>
    <t>QA</t>
  </si>
  <si>
    <t>전투 결과</t>
  </si>
  <si>
    <t>게임 결과 보상은 Gold</t>
  </si>
  <si>
    <t>승/패 기대 골드를 별도 계산</t>
  </si>
  <si>
    <t>Gold 외 지급 시 FAIL</t>
  </si>
  <si>
    <t>카드 강화</t>
  </si>
  <si>
    <t>일반 강화는 Shard</t>
  </si>
  <si>
    <t>Lv2~Lv4 단계별 비용</t>
  </si>
  <si>
    <t>Shard 외 소비 시 FAIL</t>
  </si>
  <si>
    <t>한계돌파</t>
  </si>
  <si>
    <t>카드별 먹이(CardFood)</t>
  </si>
  <si>
    <t>중복 1장=해당 카드 먹이 1</t>
  </si>
  <si>
    <t>범용 전환 시 FAIL</t>
  </si>
  <si>
    <t>카드팩</t>
  </si>
  <si>
    <t>오픈 비용은 Gold 또는 Diamond</t>
  </si>
  <si>
    <t>팩별 이중 가격 비교</t>
  </si>
  <si>
    <t>그 외 재화면 FAIL</t>
  </si>
  <si>
    <t>키워드 강화</t>
  </si>
  <si>
    <t>Energy 소비</t>
  </si>
  <si>
    <t>Lv1~Lv10 누적 비용</t>
  </si>
  <si>
    <t>Energy 외 소비 시 FAIL</t>
  </si>
  <si>
    <t>제한 수급</t>
  </si>
  <si>
    <t>Energy·Shard는 토너먼트/앨범 전용</t>
  </si>
  <si>
    <t>두 Source만 재화흐름에 등록</t>
  </si>
  <si>
    <t>불법 Source 자동 검출</t>
  </si>
  <si>
    <t>사용 순서</t>
  </si>
  <si>
    <t>1) 02_공통파라미터에서 유저 시나리오와 목표 플레이량을 조정</t>
  </si>
  <si>
    <t>2) 03~08 시트에서 경로별 보상·가격·성장 비용의 노란 셀을 조정</t>
  </si>
  <si>
    <t>3) 09_재화흐름에서 주간 Source/Sink와 고정 규칙 위반을 확인</t>
  </si>
  <si>
    <t>4) 10_시뮬레이터와 11_대시보드에서 7일·30일 잔액 및 성장 속도를 확인</t>
  </si>
  <si>
    <t>5) 12_QA의 FAIL이 0인지 확인한 뒤 스펙시트로 반영</t>
  </si>
  <si>
    <t>색상 범례</t>
  </si>
  <si>
    <t>노란색</t>
  </si>
  <si>
    <t>설계자가 조정하는 입력값</t>
  </si>
  <si>
    <t>파란색</t>
  </si>
  <si>
    <t>수식 계산값</t>
  </si>
  <si>
    <t>초록색</t>
  </si>
  <si>
    <t>검증 통과</t>
  </si>
  <si>
    <t>빨간색</t>
  </si>
  <si>
    <t>검증 실패/조치 필요</t>
  </si>
  <si>
    <t>현재 프로젝트 경제 구현 매핑</t>
  </si>
  <si>
    <t>코드/SO에서 확인한 현재 동작과 본 설계의 적용 방향을 분리했습니다.</t>
  </si>
  <si>
    <t>영역</t>
  </si>
  <si>
    <t>재화</t>
  </si>
  <si>
    <t>현재값/규칙</t>
  </si>
  <si>
    <t>수급·소비 경로</t>
  </si>
  <si>
    <t>진실원</t>
  </si>
  <si>
    <t>설계 반영</t>
  </si>
  <si>
    <t>상태</t>
  </si>
  <si>
    <t>전투 보상</t>
  </si>
  <si>
    <t>Gold</t>
  </si>
  <si>
    <t>승: max(생존카드×10,10), 패: 5</t>
  </si>
  <si>
    <t>전투 종료 Source</t>
  </si>
  <si>
    <t>RewardConfig.asset / RewardService.CalculateReward</t>
  </si>
  <si>
    <t>현행 기준값 유지</t>
  </si>
  <si>
    <t>확인</t>
  </si>
  <si>
    <t>팩 구매</t>
  </si>
  <si>
    <t>Gold/Diamond</t>
  </si>
  <si>
    <t>Gold 폴백 110·140, Diamond 폴백 30</t>
  </si>
  <si>
    <t>CardPackOpener.TryPurchase Sink</t>
  </si>
  <si>
    <t>SpecData CardPack 우선, CardPackData SO 폴백</t>
  </si>
  <si>
    <t>제안 가격 별도 입력</t>
  </si>
  <si>
    <t>중복 카드</t>
  </si>
  <si>
    <t>CardFood</t>
  </si>
  <si>
    <t>중복 1장당 해당 CardId 먹이 1</t>
  </si>
  <si>
    <t>팩 개봉 Source</t>
  </si>
  <si>
    <t>CardPackOpener.SnackPerDuplicate</t>
  </si>
  <si>
    <t>카드별 비통합 재화 유지</t>
  </si>
  <si>
    <t>Shard</t>
  </si>
  <si>
    <t>Lv2 25 / Lv3 75 / Lv4 150</t>
  </si>
  <si>
    <t>CardGrowthManager Sink</t>
  </si>
  <si>
    <t>CardGrowthConfig.asset</t>
  </si>
  <si>
    <t>1/2/3단계 먹이 1/2/3</t>
  </si>
  <si>
    <t>CardGrowthManager.TryLimitBreak Sink</t>
  </si>
  <si>
    <t>Energy</t>
  </si>
  <si>
    <t>5 + 5×(대상Lv-1), 최대 Lv10</t>
  </si>
  <si>
    <t>KeywordGrowthManager Sink</t>
  </si>
  <si>
    <t>KeywordGrowthConfig 코드 기본값</t>
  </si>
  <si>
    <t>토너먼트</t>
  </si>
  <si>
    <t>Energy/Shard</t>
  </si>
  <si>
    <t>스펙시트 지급, 일회성 노드·챕터 보상</t>
  </si>
  <si>
    <t>TournamentProgress Source</t>
  </si>
  <si>
    <t>TournamentReward 스펙</t>
  </si>
  <si>
    <t>전용 수급처로 유지</t>
  </si>
  <si>
    <t>수량 설계 필요</t>
  </si>
  <si>
    <t>앨범</t>
  </si>
  <si>
    <t>페이지·테마·전체 완성 보상</t>
  </si>
  <si>
    <t>AlbumRewardManager Source</t>
  </si>
  <si>
    <t>AlbumReward 스펙</t>
  </si>
  <si>
    <t>공통 파라미터</t>
  </si>
  <si>
    <t>노란 셀만 조정하면 나머지 시트가 자동 갱신됩니다.</t>
  </si>
  <si>
    <t>선택 시나리오</t>
  </si>
  <si>
    <t>표준</t>
  </si>
  <si>
    <t>시나리오</t>
  </si>
  <si>
    <t>판수/일</t>
  </si>
  <si>
    <t>승률</t>
  </si>
  <si>
    <t>승리 평균 생존카드</t>
  </si>
  <si>
    <t>토너먼트 노드/주</t>
  </si>
  <si>
    <t>앨범 마일스톤/주</t>
  </si>
  <si>
    <t>Gold팩/주</t>
  </si>
  <si>
    <t>Diamond팩/월</t>
  </si>
  <si>
    <t>카드강화/주</t>
  </si>
  <si>
    <t>키워드강화/주</t>
  </si>
  <si>
    <t>한계돌파/주</t>
  </si>
  <si>
    <t>라이트</t>
  </si>
  <si>
    <t>하드코어</t>
  </si>
  <si>
    <t>전역 설계값</t>
  </si>
  <si>
    <t>파라미터</t>
  </si>
  <si>
    <t>값</t>
  </si>
  <si>
    <t>단위</t>
  </si>
  <si>
    <t>설명</t>
  </si>
  <si>
    <t>시즌 길이</t>
  </si>
  <si>
    <t>일</t>
  </si>
  <si>
    <t>토너먼트/앨범 장기 수급 환산 기준</t>
  </si>
  <si>
    <t>초기 Gold</t>
  </si>
  <si>
    <t>개</t>
  </si>
  <si>
    <t>신규 유저 시작 잔액 가정</t>
  </si>
  <si>
    <t>초기 Diamond</t>
  </si>
  <si>
    <t>초기 Energy</t>
  </si>
  <si>
    <t>전용 콘텐츠 진척 전에는 0</t>
  </si>
  <si>
    <t>초기 Shard</t>
  </si>
  <si>
    <t>대표 카드 먹이</t>
  </si>
  <si>
    <t>시뮬레이터는 카드 한 장 기준</t>
  </si>
  <si>
    <t>Normal 팩 제안가</t>
  </si>
  <si>
    <t>현재 폴백 110 대비 경제 목표가</t>
  </si>
  <si>
    <t>Special 팩 제안가</t>
  </si>
  <si>
    <t>현재 폴백 140 대비 경제 목표가</t>
  </si>
  <si>
    <t>테마/Ultra 팩 제안가</t>
  </si>
  <si>
    <t>Diamond</t>
  </si>
  <si>
    <t>현재 폴백과 동일</t>
  </si>
  <si>
    <t>중복 확률</t>
  </si>
  <si>
    <t>비율</t>
  </si>
  <si>
    <t>보유 컬렉션 성장에 따라 갱신</t>
  </si>
  <si>
    <t>중복 먹이/장</t>
  </si>
  <si>
    <t>모델 기간</t>
  </si>
  <si>
    <t>시뮬레이터 표시 기간</t>
  </si>
  <si>
    <t>Source 집중 경고</t>
  </si>
  <si>
    <t>한 경로가 재화 수급을 과점하면 경고</t>
  </si>
  <si>
    <t>게임 결과 Gold 보상</t>
  </si>
  <si>
    <t>현재 구현식과 플레이 시나리오를 결합해 일·주 기대 Gold를 계산합니다.</t>
  </si>
  <si>
    <t>결과</t>
  </si>
  <si>
    <t>지급 재화</t>
  </si>
  <si>
    <t>확률</t>
  </si>
  <si>
    <t>Gold/생존카드</t>
  </si>
  <si>
    <t>하한/고정</t>
  </si>
  <si>
    <t>평균 생존카드</t>
  </si>
  <si>
    <t>1회 기대 보상</t>
  </si>
  <si>
    <t>횟수/일</t>
  </si>
  <si>
    <t>Gold/일</t>
  </si>
  <si>
    <t>Gold/주</t>
  </si>
  <si>
    <t>승리</t>
  </si>
  <si>
    <t>패배</t>
  </si>
  <si>
    <t>합계</t>
  </si>
  <si>
    <t>토너먼트 보상 설계</t>
  </si>
  <si>
    <t>Energy·Shard의 전용 수급처. 정점 보상과 챕터 완주 보상을 일회성 진행 보상으로 모델링합니다.</t>
  </si>
  <si>
    <t>챕터</t>
  </si>
  <si>
    <t>보상ID</t>
  </si>
  <si>
    <t>유형</t>
  </si>
  <si>
    <t>제안 수량</t>
  </si>
  <si>
    <t>주기</t>
  </si>
  <si>
    <t>예상 수령/주</t>
  </si>
  <si>
    <t>기대 수급/주</t>
  </si>
  <si>
    <t>근거</t>
  </si>
  <si>
    <t>T1_N1</t>
  </si>
  <si>
    <t>노드</t>
  </si>
  <si>
    <t>일회성</t>
  </si>
  <si>
    <t>초기 키워드 강화 맛보기</t>
  </si>
  <si>
    <t>T1_N2</t>
  </si>
  <si>
    <t>초기 카드 강화 진입</t>
  </si>
  <si>
    <t>T1_N3</t>
  </si>
  <si>
    <t>노드 교차 보상</t>
  </si>
  <si>
    <t>T1_N4</t>
  </si>
  <si>
    <t>T1_N5</t>
  </si>
  <si>
    <t>챕터 후반 가중</t>
  </si>
  <si>
    <t>T1_N6</t>
  </si>
  <si>
    <t>T1_CLEAR_E</t>
  </si>
  <si>
    <t>완주 보너스</t>
  </si>
  <si>
    <t>T1_CLEAR_S</t>
  </si>
  <si>
    <t>T2_N1</t>
  </si>
  <si>
    <t>중반 노드</t>
  </si>
  <si>
    <t>T2_N2</t>
  </si>
  <si>
    <t>T2_CLEAR_E</t>
  </si>
  <si>
    <t>중반 완주</t>
  </si>
  <si>
    <t>T2_CLEAR_S</t>
  </si>
  <si>
    <t>앨범 보상 설계</t>
  </si>
  <si>
    <t>Energy·Shard의 두 번째 전용 수급처. 페이지→테마→앨범 완성으로 보상을 계단식 배치합니다.</t>
  </si>
  <si>
    <t>단계</t>
  </si>
  <si>
    <t>조건</t>
  </si>
  <si>
    <t>예상 달성/주</t>
  </si>
  <si>
    <t>설계 의도</t>
  </si>
  <si>
    <t>페이지</t>
  </si>
  <si>
    <t>A_PAGE_E1</t>
  </si>
  <si>
    <t>페이지 1 완성</t>
  </si>
  <si>
    <t>초기 즉시 효용</t>
  </si>
  <si>
    <t>A_PAGE_S1</t>
  </si>
  <si>
    <t>페이지 2 완성</t>
  </si>
  <si>
    <t>카드 강화 보조</t>
  </si>
  <si>
    <t>A_PAGE_E2</t>
  </si>
  <si>
    <t>페이지 3 완성</t>
  </si>
  <si>
    <t>키워드 성장 보조</t>
  </si>
  <si>
    <t>A_PAGE_S2</t>
  </si>
  <si>
    <t>페이지 4 완성</t>
  </si>
  <si>
    <t>테마</t>
  </si>
  <si>
    <t>A_THEME_E</t>
  </si>
  <si>
    <t>테마 완성</t>
  </si>
  <si>
    <t>중기 수집 목표</t>
  </si>
  <si>
    <t>A_THEME_S</t>
  </si>
  <si>
    <t>A_ALL_E</t>
  </si>
  <si>
    <t>전체 앨범 완성</t>
  </si>
  <si>
    <t>장기 수집 보상</t>
  </si>
  <si>
    <t>A_ALL_S</t>
  </si>
  <si>
    <t>카드팩 가격·중복 먹이 설계</t>
  </si>
  <si>
    <t>현재 폴백값과 제안값을 함께 두고, 팩당 기대 신규 카드와 카드별 먹이 발생량을 비교합니다.</t>
  </si>
  <si>
    <t>PackId</t>
  </si>
  <si>
    <t>표시명</t>
  </si>
  <si>
    <t>채널</t>
  </si>
  <si>
    <t>현재 재화</t>
  </si>
  <si>
    <t>현재가</t>
  </si>
  <si>
    <t>제안 재화</t>
  </si>
  <si>
    <t>제안가</t>
  </si>
  <si>
    <t>장수</t>
  </si>
  <si>
    <t>팩내 중복금지</t>
  </si>
  <si>
    <t>중복확률</t>
  </si>
  <si>
    <t>먹이/중복</t>
  </si>
  <si>
    <t>기대 먹이/팩</t>
  </si>
  <si>
    <t>기대 신규/팩</t>
  </si>
  <si>
    <t>NormalPack_TEST</t>
  </si>
  <si>
    <t>일반 팩</t>
  </si>
  <si>
    <t>Shop</t>
  </si>
  <si>
    <t>SpecialPack</t>
  </si>
  <si>
    <t>스페셜 팩</t>
  </si>
  <si>
    <t>ElementalFlowPack</t>
  </si>
  <si>
    <t>원소의 흐름</t>
  </si>
  <si>
    <t>GiantsGardenPack</t>
  </si>
  <si>
    <t>거인의 정원</t>
  </si>
  <si>
    <t>HuntingBrandPack</t>
  </si>
  <si>
    <t>사냥의 낙인</t>
  </si>
  <si>
    <t>IronArmorPack</t>
  </si>
  <si>
    <t>철벽의 갑주</t>
  </si>
  <si>
    <t>ImmortalLegacyPack</t>
  </si>
  <si>
    <t>불멸의 유산</t>
  </si>
  <si>
    <t>UltraPack</t>
  </si>
  <si>
    <t>울트라 팩</t>
  </si>
  <si>
    <t>StarterPack</t>
  </si>
  <si>
    <t>스타터 팩</t>
  </si>
  <si>
    <t>Tutorial</t>
  </si>
  <si>
    <t>카드 강화·한계돌파 비용</t>
  </si>
  <si>
    <t>일반 강화는 Shard, 한계돌파는 해당 카드 중복에서 얻는 CardFood만 소비합니다.</t>
  </si>
  <si>
    <t>성장축</t>
  </si>
  <si>
    <t>목표 단계</t>
  </si>
  <si>
    <t>현재 비용</t>
  </si>
  <si>
    <t>제안 비용</t>
  </si>
  <si>
    <t>성공률</t>
  </si>
  <si>
    <t>기대 비용</t>
  </si>
  <si>
    <t>누적 비용(동일 재화)</t>
  </si>
  <si>
    <t>효과</t>
  </si>
  <si>
    <t>강화</t>
  </si>
  <si>
    <t>Lv2</t>
  </si>
  <si>
    <t>HP 성장/진화 준비</t>
  </si>
  <si>
    <t>Lv3</t>
  </si>
  <si>
    <t>1차 진화·시너지 해금</t>
  </si>
  <si>
    <t>Lv4</t>
  </si>
  <si>
    <t>2차 진화·키워드 강화</t>
  </si>
  <si>
    <t>1단계</t>
  </si>
  <si>
    <t>해당 카드 HP +1</t>
  </si>
  <si>
    <t>2단계</t>
  </si>
  <si>
    <t>3단계</t>
  </si>
  <si>
    <t>키워드 강화 Energy 비용</t>
  </si>
  <si>
    <t>키워드 한 종류의 Lv1~Lv10 성장 곡선. 기본식은 5×대상 레벨입니다.</t>
  </si>
  <si>
    <t>키워드</t>
  </si>
  <si>
    <t>현재 Lv</t>
  </si>
  <si>
    <t>목표 Lv</t>
  </si>
  <si>
    <t>현재식 비용</t>
  </si>
  <si>
    <t>효과 HP</t>
  </si>
  <si>
    <t>누적 Energy</t>
  </si>
  <si>
    <t>대표 키워드</t>
  </si>
  <si>
    <t>재화 수급·소비 흐름</t>
  </si>
  <si>
    <t>모든 Source/Sink를 주 단위로 환산합니다. Energy·Shard의 불법 Source는 QA 열에서 즉시 탐지됩니다.</t>
  </si>
  <si>
    <t>방향</t>
  </si>
  <si>
    <t>경로</t>
  </si>
  <si>
    <t>반복성</t>
  </si>
  <si>
    <t>해금/조건</t>
  </si>
  <si>
    <t>1회량</t>
  </si>
  <si>
    <t>횟수/주</t>
  </si>
  <si>
    <t>주간 절대량</t>
  </si>
  <si>
    <t>주간 순변동</t>
  </si>
  <si>
    <t>Source 허용</t>
  </si>
  <si>
    <t>비고</t>
  </si>
  <si>
    <t>Source</t>
  </si>
  <si>
    <t>게임결과-승리</t>
  </si>
  <si>
    <t>반복</t>
  </si>
  <si>
    <t>전투 해금</t>
  </si>
  <si>
    <t>게임결과-패배</t>
  </si>
  <si>
    <t>패배 완화</t>
  </si>
  <si>
    <t>노드/챕터 수령</t>
  </si>
  <si>
    <t>전용 수급처</t>
  </si>
  <si>
    <t>페이지/테마/전체 완성</t>
  </si>
  <si>
    <t>Sink</t>
  </si>
  <si>
    <t>카드팩-Normal</t>
  </si>
  <si>
    <t>팩 해금</t>
  </si>
  <si>
    <t>주요 Gold Sink</t>
  </si>
  <si>
    <t>카드팩-테마/Ultra</t>
  </si>
  <si>
    <t>팩/랭크 해금</t>
  </si>
  <si>
    <t>월 횟수를 주 환산</t>
  </si>
  <si>
    <t>카드 일반강화</t>
  </si>
  <si>
    <t>카드 보유</t>
  </si>
  <si>
    <t>강화 단계 평균</t>
  </si>
  <si>
    <t>2차 진화</t>
  </si>
  <si>
    <t>키워드 단계 평균</t>
  </si>
  <si>
    <t>카드팩 중복</t>
  </si>
  <si>
    <t>해당 카드 중복</t>
  </si>
  <si>
    <t>대표 카드 환산 전 전체 먹이 기대치</t>
  </si>
  <si>
    <t>해당 카드 보유</t>
  </si>
  <si>
    <t>대표 카드 기준</t>
  </si>
  <si>
    <t>30일 재화 잔액 시뮬레이터</t>
  </si>
  <si>
    <t>선택 시나리오의 주간 평균 Source/Sink를 일 단위로 환산합니다. CardFood는 대표 카드 기준 참고치입니다.</t>
  </si>
  <si>
    <t>Day</t>
  </si>
  <si>
    <t>대표 CardFood</t>
  </si>
  <si>
    <t>Gold 일변동</t>
  </si>
  <si>
    <t>Diamond 일변동</t>
  </si>
  <si>
    <t>Energy 일변동</t>
  </si>
  <si>
    <t>Shard 일변동</t>
  </si>
  <si>
    <t>CardFood 일변동</t>
  </si>
  <si>
    <t>경제 밸런스 대시보드</t>
  </si>
  <si>
    <t>주간 Source/Sink, 순변동, 30일 예상 잔액을 한 화면에서 확인합니다.</t>
  </si>
  <si>
    <t>Source/주</t>
  </si>
  <si>
    <t>Sink/주</t>
  </si>
  <si>
    <t>순변동/주</t>
  </si>
  <si>
    <t>초기 잔액</t>
  </si>
  <si>
    <t>30일 예상</t>
  </si>
  <si>
    <t>경제 규칙 QA</t>
  </si>
  <si>
    <t>FAIL이 하나라도 있으면 스펙 반영 전에 원인을 수정합니다.</t>
  </si>
  <si>
    <t>검사ID</t>
  </si>
  <si>
    <t>검사 항목</t>
  </si>
  <si>
    <t>세부/조치</t>
  </si>
  <si>
    <t>중요도</t>
  </si>
  <si>
    <t>Q01</t>
  </si>
  <si>
    <t>게임 결과 보상이 Gold인가</t>
  </si>
  <si>
    <t>Gold 외 재화를 제거</t>
  </si>
  <si>
    <t>BLOCK</t>
  </si>
  <si>
    <t>Q02</t>
  </si>
  <si>
    <t>팩 오픈 재화가 Gold/Diamond인가</t>
  </si>
  <si>
    <t>팩 제안 재화를 수정</t>
  </si>
  <si>
    <t>Q03</t>
  </si>
  <si>
    <t>Energy Source가 토너먼트/앨범뿐인가</t>
  </si>
  <si>
    <t>불법 Energy Source 제거</t>
  </si>
  <si>
    <t>Q04</t>
  </si>
  <si>
    <t>Shard Source가 토너먼트/앨범뿐인가</t>
  </si>
  <si>
    <t>불법 Shard Source 제거</t>
  </si>
  <si>
    <t>Q05</t>
  </si>
  <si>
    <t>CardFood Source가 카드팩 중복뿐인가</t>
  </si>
  <si>
    <t>카드별 먹이 범용 지급 금지</t>
  </si>
  <si>
    <t>Q06</t>
  </si>
  <si>
    <t>키워드 강화가 Energy만 쓰는가</t>
  </si>
  <si>
    <t>키워드 비용 재화 수정</t>
  </si>
  <si>
    <t>Q07</t>
  </si>
  <si>
    <t>일반 카드 강화가 Shard인가</t>
  </si>
  <si>
    <t>일반 강화 재화 수정</t>
  </si>
  <si>
    <t>Q08</t>
  </si>
  <si>
    <t>한계돌파가 CardFood인가</t>
  </si>
  <si>
    <t>한계돌파 재화 수정</t>
  </si>
  <si>
    <t>Q09</t>
  </si>
  <si>
    <t>수량·비용에 음수가 없는가</t>
  </si>
  <si>
    <t>음수 입력 제거</t>
  </si>
  <si>
    <t>Q10</t>
  </si>
  <si>
    <t>게임 결과 확률 합이 100%인가</t>
  </si>
  <si>
    <t>승률/패배 확률 확인</t>
  </si>
  <si>
    <t>HIGH</t>
  </si>
  <si>
    <t>Q11</t>
  </si>
  <si>
    <t>30일 잔액이 음수가 아닌가</t>
  </si>
  <si>
    <t>수급량 또는 소비 빈도 재조정</t>
  </si>
  <si>
    <t>Q12</t>
  </si>
  <si>
    <t>세부 시트 QA가 모두 통과하는가</t>
  </si>
  <si>
    <t>세부 QA 열 확인</t>
  </si>
  <si>
    <t>FAIL 수</t>
  </si>
  <si>
    <t>출처·가정·반영 메모</t>
  </si>
  <si>
    <t>숫자의 출처와 아직 확정되지 않은 가정을 분리해 추적합니다.</t>
  </si>
  <si>
    <t>항목</t>
  </si>
  <si>
    <t>출처</t>
  </si>
  <si>
    <t>확인값/가정</t>
  </si>
  <si>
    <t>워크북 반영</t>
  </si>
  <si>
    <t>주의</t>
  </si>
  <si>
    <t>프로젝트</t>
  </si>
  <si>
    <t>재화 enum</t>
  </si>
  <si>
    <t>Assets/Scripts/OutGame/Currency/ECurrencyType.cs</t>
  </si>
  <si>
    <t>Gold, Diamond, Energy, Shard</t>
  </si>
  <si>
    <t>01/09/12</t>
  </si>
  <si>
    <t>enum 순서 변경 금지</t>
  </si>
  <si>
    <t>Assets/SO/Reward/RewardConfig.asset</t>
  </si>
  <si>
    <t>goldPerCard=10, winFloor=10, loseGold=5</t>
  </si>
  <si>
    <t>03</t>
  </si>
  <si>
    <t>현재 구현값</t>
  </si>
  <si>
    <t>Assets/SO/CardGrowth/CardGrowthConfig.asset</t>
  </si>
  <si>
    <t>Shard 25/75/150</t>
  </si>
  <si>
    <t>07</t>
  </si>
  <si>
    <t>카드별 먹이 1/2/3</t>
  </si>
  <si>
    <t>중복 전환</t>
  </si>
  <si>
    <t>Assets/Scripts/OutGame/CardPack/CardPackOpener.cs</t>
  </si>
  <si>
    <t>06/09</t>
  </si>
  <si>
    <t>전역재화 아님</t>
  </si>
  <si>
    <t>Assets/Scripts/OutGame/Growth/KeywordGrowthConfig.cs</t>
  </si>
  <si>
    <t>Energy 5×대상레벨, 최대 Lv10</t>
  </si>
  <si>
    <t>08</t>
  </si>
  <si>
    <t>코드 기본값</t>
  </si>
  <si>
    <t>팩 폴백가</t>
  </si>
  <si>
    <t>Assets/SO/CardPack/ShopPack/*.asset</t>
  </si>
  <si>
    <t>Gold 110/140, Diamond 30</t>
  </si>
  <si>
    <t>06</t>
  </si>
  <si>
    <t>SpecData가 런타임 우선</t>
  </si>
  <si>
    <t>전용 보상 경로</t>
  </si>
  <si>
    <t>TournamentProgress / AlbumRewardManager</t>
  </si>
  <si>
    <t>스펙 기반 CurrencyManager.Earn</t>
  </si>
  <si>
    <t>04/05/09</t>
  </si>
  <si>
    <t>수급 제한은 현재 코드가 아니라 데이터 QA로 보강</t>
  </si>
  <si>
    <t>레퍼런스</t>
  </si>
  <si>
    <t>레벨디자인 구조</t>
  </si>
  <si>
    <t>C:\Users\cookapps\Downloads\Goddess_Card_Arena_레벨디자인_마스터.xlsx</t>
  </si>
  <si>
    <t>보상 정규화·진행 해금·팩 확률·QA 구조 참고</t>
  </si>
  <si>
    <t>전체</t>
  </si>
  <si>
    <t>수치는 직접 복사하지 않음</t>
  </si>
  <si>
    <t>설계 가정</t>
  </si>
  <si>
    <t>플레이 시나리오</t>
  </si>
  <si>
    <t>본 워크북 02_공통파라미터</t>
  </si>
  <si>
    <t>라이트/표준/하드코어</t>
  </si>
  <si>
    <t>02~11</t>
  </si>
  <si>
    <t>운영 데이터로 교체 필요</t>
  </si>
  <si>
    <t>설계 제안</t>
  </si>
  <si>
    <t>Gold 팩 목표가</t>
  </si>
  <si>
    <t>본 워크북</t>
  </si>
  <si>
    <t>Normal 250 / Special 400</t>
  </si>
  <si>
    <t>현재 폴백보다 높음; A/B 테스트 필요</t>
  </si>
  <si>
    <t>토너먼트·앨범 보상</t>
  </si>
  <si>
    <t>Energy·Shard 전용 수급</t>
  </si>
  <si>
    <t>04/05</t>
  </si>
  <si>
    <t>실제 콘텐츠 길이에 맞춰 조정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</si>
</sst>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#,##0.0"/>
    <numFmt numFmtId="178" formatCode="0.000"/>
  </numFmts>
  <fonts count="8" x14ac:knownFonts="1">
    <font>
      <sz val="11"/>
      <color theme="1"/>
      <name val="맑은 고딕"/>
      <family val="2"/>
      <scheme val="minor"/>
    </font>
    <font>
      <b/>
      <sz val="18"/>
      <color rgb="FFFFFFFF"/>
      <name val="맑은 고딕"/>
      <family val="3"/>
      <charset val="129"/>
    </font>
    <font>
      <sz val="10"/>
      <color rgb="FF7F8C8D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color rgb="FF1F1F1F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17324D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1F7A8C"/>
      </patternFill>
    </fill>
    <fill>
      <patternFill patternType="solid">
        <fgColor rgb="FF2F75B5"/>
      </patternFill>
    </fill>
    <fill>
      <patternFill patternType="solid">
        <fgColor rgb="FFF3F6F9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7324D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7" borderId="0" xfId="0" applyFill="1" applyAlignment="1">
      <alignment horizontal="left" vertical="center" wrapText="1"/>
    </xf>
    <xf numFmtId="0" fontId="0" fillId="8" borderId="0" xfId="0" applyFill="1" applyAlignment="1">
      <alignment horizontal="left" vertical="center" wrapText="1"/>
    </xf>
    <xf numFmtId="0" fontId="0" fillId="9" borderId="0" xfId="0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0" fontId="4" fillId="6" borderId="2" xfId="0" applyFont="1" applyFill="1" applyBorder="1" applyAlignment="1">
      <alignment horizontal="right" vertical="center" wrapText="1"/>
    </xf>
    <xf numFmtId="176" fontId="4" fillId="6" borderId="2" xfId="0" applyNumberFormat="1" applyFont="1" applyFill="1" applyBorder="1" applyAlignment="1">
      <alignment horizontal="right" vertical="center" wrapText="1"/>
    </xf>
    <xf numFmtId="176" fontId="4" fillId="7" borderId="2" xfId="0" applyNumberFormat="1" applyFont="1" applyFill="1" applyBorder="1" applyAlignment="1">
      <alignment horizontal="left" vertical="center" wrapText="1"/>
    </xf>
    <xf numFmtId="177" fontId="4" fillId="6" borderId="2" xfId="0" applyNumberFormat="1" applyFont="1" applyFill="1" applyBorder="1" applyAlignment="1">
      <alignment horizontal="right" vertical="center" wrapText="1"/>
    </xf>
    <xf numFmtId="177" fontId="4" fillId="7" borderId="2" xfId="0" applyNumberFormat="1" applyFont="1" applyFill="1" applyBorder="1" applyAlignment="1">
      <alignment horizontal="left" vertical="center" wrapText="1"/>
    </xf>
    <xf numFmtId="177" fontId="4" fillId="7" borderId="2" xfId="0" applyNumberFormat="1" applyFont="1" applyFill="1" applyBorder="1" applyAlignment="1">
      <alignment horizontal="right" vertical="center" wrapText="1"/>
    </xf>
    <xf numFmtId="177" fontId="0" fillId="0" borderId="0" xfId="0" applyNumberFormat="1"/>
    <xf numFmtId="177" fontId="5" fillId="7" borderId="0" xfId="0" applyNumberFormat="1" applyFont="1" applyFill="1" applyAlignment="1">
      <alignment horizontal="left" vertical="center" wrapText="1"/>
    </xf>
    <xf numFmtId="0" fontId="4" fillId="0" borderId="2" xfId="0" applyFont="1" applyBorder="1" applyAlignment="1">
      <alignment horizontal="right" vertical="center" wrapText="1"/>
    </xf>
    <xf numFmtId="2" fontId="4" fillId="7" borderId="2" xfId="0" applyNumberFormat="1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5" fillId="7" borderId="0" xfId="0" applyFont="1" applyFill="1" applyAlignment="1">
      <alignment horizontal="left" vertical="center" wrapText="1"/>
    </xf>
    <xf numFmtId="178" fontId="4" fillId="7" borderId="2" xfId="0" applyNumberFormat="1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176" fontId="4" fillId="6" borderId="2" xfId="0" applyNumberFormat="1" applyFont="1" applyFill="1" applyBorder="1" applyAlignment="1">
      <alignment horizontal="left" vertical="center" wrapText="1"/>
    </xf>
    <xf numFmtId="4" fontId="4" fillId="7" borderId="2" xfId="0" applyNumberFormat="1" applyFont="1" applyFill="1" applyBorder="1" applyAlignment="1">
      <alignment horizontal="left" vertical="center" wrapText="1"/>
    </xf>
    <xf numFmtId="2" fontId="4" fillId="7" borderId="2" xfId="0" applyNumberFormat="1" applyFont="1" applyFill="1" applyBorder="1" applyAlignment="1">
      <alignment horizontal="right" vertical="center" wrapText="1"/>
    </xf>
    <xf numFmtId="0" fontId="0" fillId="5" borderId="0" xfId="0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 wrapText="1"/>
    </xf>
    <xf numFmtId="0" fontId="2" fillId="0" borderId="0" xfId="0" applyFont="1" applyAlignment="1">
      <alignment vertical="top" wrapText="1"/>
    </xf>
  </cellXfs>
  <cellStyles count="1">
    <cellStyle name="표준" xfId="0" builtinId="0"/>
  </cellStyles>
  <dxfs count="5">
    <dxf>
      <font>
        <b/>
        <color rgb="FFC00000"/>
      </font>
      <fill>
        <patternFill patternType="solid">
          <fgColor rgb="FFFCE4D6"/>
        </patternFill>
      </fill>
    </dxf>
    <dxf>
      <font>
        <b/>
        <color rgb="FF006100"/>
      </font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b/>
        <color rgb="FFC00000"/>
      </font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10"/>
  <c:chart>
    <c:title>
      <c:tx>
        <c:rich>
          <a:bodyPr/>
          <a:lstStyle/>
          <a:p>
            <a:pPr>
              <a:defRPr/>
            </a:pPr>
            <a:r>
              <a:t>재화별 주간 Source / Sink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'11_대시보드'!$B$4</c:f>
              <c:strCache>
                <c:ptCount val="1"/>
                <c:pt idx="0">
                  <c:v>Source/주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'11_대시보드'!$A$5:$A$9</c:f>
              <c:strCache>
                <c:ptCount val="5"/>
                <c:pt idx="0">
                  <c:v>Gold</c:v>
                </c:pt>
                <c:pt idx="1">
                  <c:v>Diamond</c:v>
                </c:pt>
                <c:pt idx="2">
                  <c:v>Energy</c:v>
                </c:pt>
                <c:pt idx="3">
                  <c:v>Shard</c:v>
                </c:pt>
                <c:pt idx="4">
                  <c:v>CardFood</c:v>
                </c:pt>
              </c:strCache>
            </c:strRef>
          </c:cat>
          <c:val>
            <c:numRef>
              <c:f>'11_대시보드'!$B$5:$B$9</c:f>
              <c:numCache>
                <c:formatCode>#,##0.0</c:formatCode>
                <c:ptCount val="5"/>
                <c:pt idx="0">
                  <c:v>787.5</c:v>
                </c:pt>
                <c:pt idx="1">
                  <c:v>0</c:v>
                </c:pt>
                <c:pt idx="2">
                  <c:v>33.041666666666664</c:v>
                </c:pt>
                <c:pt idx="3">
                  <c:v>90.674999999999997</c:v>
                </c:pt>
                <c:pt idx="4">
                  <c:v>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1-41D1-99CE-48D84C1E50F5}"/>
            </c:ext>
          </c:extLst>
        </c:ser>
        <c:ser>
          <c:idx val="1"/>
          <c:order val="1"/>
          <c:tx>
            <c:strRef>
              <c:f>'11_대시보드'!$C$4</c:f>
              <c:strCache>
                <c:ptCount val="1"/>
                <c:pt idx="0">
                  <c:v>Sink/주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'11_대시보드'!$A$5:$A$9</c:f>
              <c:strCache>
                <c:ptCount val="5"/>
                <c:pt idx="0">
                  <c:v>Gold</c:v>
                </c:pt>
                <c:pt idx="1">
                  <c:v>Diamond</c:v>
                </c:pt>
                <c:pt idx="2">
                  <c:v>Energy</c:v>
                </c:pt>
                <c:pt idx="3">
                  <c:v>Shard</c:v>
                </c:pt>
                <c:pt idx="4">
                  <c:v>CardFood</c:v>
                </c:pt>
              </c:strCache>
            </c:strRef>
          </c:cat>
          <c:val>
            <c:numRef>
              <c:f>'11_대시보드'!$C$5:$C$9</c:f>
              <c:numCache>
                <c:formatCode>#,##0.0</c:formatCode>
                <c:ptCount val="5"/>
                <c:pt idx="0">
                  <c:v>500</c:v>
                </c:pt>
                <c:pt idx="1">
                  <c:v>6.9044879171461453</c:v>
                </c:pt>
                <c:pt idx="2">
                  <c:v>13.75</c:v>
                </c:pt>
                <c:pt idx="3">
                  <c:v>83.333333333333329</c:v>
                </c:pt>
                <c:pt idx="4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1-41D1-99CE-48D84C1E5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재화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수량/주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13"/>
  <c:chart>
    <c:title>
      <c:tx>
        <c:rich>
          <a:bodyPr/>
          <a:lstStyle/>
          <a:p>
            <a:pPr>
              <a:defRPr/>
            </a:pPr>
            <a:r>
              <a:t>30일 잔액 추이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'10_시뮬레이터'!$B$4</c:f>
              <c:strCache>
                <c:ptCount val="1"/>
                <c:pt idx="0">
                  <c:v>Gold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'10_시뮬레이터'!$A$5:$A$35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'10_시뮬레이터'!$B$5:$B$35</c:f>
              <c:numCache>
                <c:formatCode>#,##0.0</c:formatCode>
                <c:ptCount val="31"/>
                <c:pt idx="0">
                  <c:v>500</c:v>
                </c:pt>
                <c:pt idx="1">
                  <c:v>541.07142857142856</c:v>
                </c:pt>
                <c:pt idx="2">
                  <c:v>582.14285714285711</c:v>
                </c:pt>
                <c:pt idx="3">
                  <c:v>623.21428571428567</c:v>
                </c:pt>
                <c:pt idx="4">
                  <c:v>664.28571428571422</c:v>
                </c:pt>
                <c:pt idx="5">
                  <c:v>705.35714285714278</c:v>
                </c:pt>
                <c:pt idx="6">
                  <c:v>746.42857142857133</c:v>
                </c:pt>
                <c:pt idx="7">
                  <c:v>787.49999999999989</c:v>
                </c:pt>
                <c:pt idx="8">
                  <c:v>828.57142857142844</c:v>
                </c:pt>
                <c:pt idx="9">
                  <c:v>869.642857142857</c:v>
                </c:pt>
                <c:pt idx="10">
                  <c:v>910.71428571428555</c:v>
                </c:pt>
                <c:pt idx="11">
                  <c:v>951.78571428571411</c:v>
                </c:pt>
                <c:pt idx="12">
                  <c:v>992.85714285714266</c:v>
                </c:pt>
                <c:pt idx="13">
                  <c:v>1033.9285714285713</c:v>
                </c:pt>
                <c:pt idx="14">
                  <c:v>1075</c:v>
                </c:pt>
                <c:pt idx="15">
                  <c:v>1116.0714285714287</c:v>
                </c:pt>
                <c:pt idx="16">
                  <c:v>1157.1428571428573</c:v>
                </c:pt>
                <c:pt idx="17">
                  <c:v>1198.214285714286</c:v>
                </c:pt>
                <c:pt idx="18">
                  <c:v>1239.2857142857147</c:v>
                </c:pt>
                <c:pt idx="19">
                  <c:v>1280.3571428571433</c:v>
                </c:pt>
                <c:pt idx="20">
                  <c:v>1321.428571428572</c:v>
                </c:pt>
                <c:pt idx="21">
                  <c:v>1362.5000000000007</c:v>
                </c:pt>
                <c:pt idx="22">
                  <c:v>1403.5714285714294</c:v>
                </c:pt>
                <c:pt idx="23">
                  <c:v>1444.642857142858</c:v>
                </c:pt>
                <c:pt idx="24">
                  <c:v>1485.7142857142867</c:v>
                </c:pt>
                <c:pt idx="25">
                  <c:v>1526.7857142857154</c:v>
                </c:pt>
                <c:pt idx="26">
                  <c:v>1567.857142857144</c:v>
                </c:pt>
                <c:pt idx="27">
                  <c:v>1608.9285714285727</c:v>
                </c:pt>
                <c:pt idx="28">
                  <c:v>1650.0000000000014</c:v>
                </c:pt>
                <c:pt idx="29">
                  <c:v>1691.07142857143</c:v>
                </c:pt>
                <c:pt idx="30">
                  <c:v>1732.1428571428587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CF-4568-B82B-B185E55972DF}"/>
            </c:ext>
          </c:extLst>
        </c:ser>
        <c:ser>
          <c:idx val="1"/>
          <c:order val="1"/>
          <c:tx>
            <c:strRef>
              <c:f>'10_시뮬레이터'!$C$4</c:f>
              <c:strCache>
                <c:ptCount val="1"/>
                <c:pt idx="0">
                  <c:v>Diamond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'10_시뮬레이터'!$A$5:$A$35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'10_시뮬레이터'!$C$5:$C$35</c:f>
              <c:numCache>
                <c:formatCode>#,##0.0</c:formatCode>
                <c:ptCount val="31"/>
                <c:pt idx="0">
                  <c:v>100</c:v>
                </c:pt>
                <c:pt idx="1">
                  <c:v>99.013644583264835</c:v>
                </c:pt>
                <c:pt idx="2">
                  <c:v>98.02728916652967</c:v>
                </c:pt>
                <c:pt idx="3">
                  <c:v>97.040933749794505</c:v>
                </c:pt>
                <c:pt idx="4">
                  <c:v>96.054578333059339</c:v>
                </c:pt>
                <c:pt idx="5">
                  <c:v>95.068222916324174</c:v>
                </c:pt>
                <c:pt idx="6">
                  <c:v>94.081867499589009</c:v>
                </c:pt>
                <c:pt idx="7">
                  <c:v>93.095512082853844</c:v>
                </c:pt>
                <c:pt idx="8">
                  <c:v>92.109156666118679</c:v>
                </c:pt>
                <c:pt idx="9">
                  <c:v>91.122801249383514</c:v>
                </c:pt>
                <c:pt idx="10">
                  <c:v>90.136445832648349</c:v>
                </c:pt>
                <c:pt idx="11">
                  <c:v>89.150090415913184</c:v>
                </c:pt>
                <c:pt idx="12">
                  <c:v>88.163734999178018</c:v>
                </c:pt>
                <c:pt idx="13">
                  <c:v>87.177379582442853</c:v>
                </c:pt>
                <c:pt idx="14">
                  <c:v>86.191024165707688</c:v>
                </c:pt>
                <c:pt idx="15">
                  <c:v>85.204668748972523</c:v>
                </c:pt>
                <c:pt idx="16">
                  <c:v>84.218313332237358</c:v>
                </c:pt>
                <c:pt idx="17">
                  <c:v>83.231957915502193</c:v>
                </c:pt>
                <c:pt idx="18">
                  <c:v>82.245602498767028</c:v>
                </c:pt>
                <c:pt idx="19">
                  <c:v>81.259247082031862</c:v>
                </c:pt>
                <c:pt idx="20">
                  <c:v>80.272891665296697</c:v>
                </c:pt>
                <c:pt idx="21">
                  <c:v>79.286536248561532</c:v>
                </c:pt>
                <c:pt idx="22">
                  <c:v>78.300180831826367</c:v>
                </c:pt>
                <c:pt idx="23">
                  <c:v>77.313825415091202</c:v>
                </c:pt>
                <c:pt idx="24">
                  <c:v>76.327469998356037</c:v>
                </c:pt>
                <c:pt idx="25">
                  <c:v>75.341114581620872</c:v>
                </c:pt>
                <c:pt idx="26">
                  <c:v>74.354759164885706</c:v>
                </c:pt>
                <c:pt idx="27">
                  <c:v>73.368403748150541</c:v>
                </c:pt>
                <c:pt idx="28">
                  <c:v>72.382048331415376</c:v>
                </c:pt>
                <c:pt idx="29">
                  <c:v>71.395692914680211</c:v>
                </c:pt>
                <c:pt idx="30">
                  <c:v>70.409337497945046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CF-4568-B82B-B185E55972DF}"/>
            </c:ext>
          </c:extLst>
        </c:ser>
        <c:ser>
          <c:idx val="2"/>
          <c:order val="2"/>
          <c:tx>
            <c:strRef>
              <c:f>'10_시뮬레이터'!$D$4</c:f>
              <c:strCache>
                <c:ptCount val="1"/>
                <c:pt idx="0">
                  <c:v>Energy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'10_시뮬레이터'!$A$5:$A$35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'10_시뮬레이터'!$D$5:$D$35</c:f>
              <c:numCache>
                <c:formatCode>#,##0.0</c:formatCode>
                <c:ptCount val="31"/>
                <c:pt idx="0">
                  <c:v>0</c:v>
                </c:pt>
                <c:pt idx="1">
                  <c:v>2.7559523809523805</c:v>
                </c:pt>
                <c:pt idx="2">
                  <c:v>5.511904761904761</c:v>
                </c:pt>
                <c:pt idx="3">
                  <c:v>8.2678571428571423</c:v>
                </c:pt>
                <c:pt idx="4">
                  <c:v>11.023809523809522</c:v>
                </c:pt>
                <c:pt idx="5">
                  <c:v>13.779761904761902</c:v>
                </c:pt>
                <c:pt idx="6">
                  <c:v>16.535714285714281</c:v>
                </c:pt>
                <c:pt idx="7">
                  <c:v>19.291666666666661</c:v>
                </c:pt>
                <c:pt idx="8">
                  <c:v>22.04761904761904</c:v>
                </c:pt>
                <c:pt idx="9">
                  <c:v>24.80357142857142</c:v>
                </c:pt>
                <c:pt idx="10">
                  <c:v>27.5595238095238</c:v>
                </c:pt>
                <c:pt idx="11">
                  <c:v>30.315476190476179</c:v>
                </c:pt>
                <c:pt idx="12">
                  <c:v>33.071428571428562</c:v>
                </c:pt>
                <c:pt idx="13">
                  <c:v>35.827380952380942</c:v>
                </c:pt>
                <c:pt idx="14">
                  <c:v>38.583333333333321</c:v>
                </c:pt>
                <c:pt idx="15">
                  <c:v>41.339285714285701</c:v>
                </c:pt>
                <c:pt idx="16">
                  <c:v>44.095238095238081</c:v>
                </c:pt>
                <c:pt idx="17">
                  <c:v>46.85119047619046</c:v>
                </c:pt>
                <c:pt idx="18">
                  <c:v>49.60714285714284</c:v>
                </c:pt>
                <c:pt idx="19">
                  <c:v>52.363095238095219</c:v>
                </c:pt>
                <c:pt idx="20">
                  <c:v>55.119047619047599</c:v>
                </c:pt>
                <c:pt idx="21">
                  <c:v>57.874999999999979</c:v>
                </c:pt>
                <c:pt idx="22">
                  <c:v>60.630952380952358</c:v>
                </c:pt>
                <c:pt idx="23">
                  <c:v>63.386904761904738</c:v>
                </c:pt>
                <c:pt idx="24">
                  <c:v>66.142857142857125</c:v>
                </c:pt>
                <c:pt idx="25">
                  <c:v>68.898809523809504</c:v>
                </c:pt>
                <c:pt idx="26">
                  <c:v>71.654761904761884</c:v>
                </c:pt>
                <c:pt idx="27">
                  <c:v>74.410714285714263</c:v>
                </c:pt>
                <c:pt idx="28">
                  <c:v>77.166666666666643</c:v>
                </c:pt>
                <c:pt idx="29">
                  <c:v>79.922619047619023</c:v>
                </c:pt>
                <c:pt idx="30">
                  <c:v>82.678571428571402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6CF-4568-B82B-B185E55972DF}"/>
            </c:ext>
          </c:extLst>
        </c:ser>
        <c:ser>
          <c:idx val="3"/>
          <c:order val="3"/>
          <c:tx>
            <c:strRef>
              <c:f>'10_시뮬레이터'!$E$4</c:f>
              <c:strCache>
                <c:ptCount val="1"/>
                <c:pt idx="0">
                  <c:v>Shard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'10_시뮬레이터'!$A$5:$A$35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'10_시뮬레이터'!$E$5:$E$35</c:f>
              <c:numCache>
                <c:formatCode>#,##0.0</c:formatCode>
                <c:ptCount val="31"/>
                <c:pt idx="0">
                  <c:v>0</c:v>
                </c:pt>
                <c:pt idx="1">
                  <c:v>1.0488095238095241</c:v>
                </c:pt>
                <c:pt idx="2">
                  <c:v>2.0976190476190482</c:v>
                </c:pt>
                <c:pt idx="3">
                  <c:v>3.1464285714285722</c:v>
                </c:pt>
                <c:pt idx="4">
                  <c:v>4.1952380952380963</c:v>
                </c:pt>
                <c:pt idx="5">
                  <c:v>5.2440476190476204</c:v>
                </c:pt>
                <c:pt idx="6">
                  <c:v>6.2928571428571445</c:v>
                </c:pt>
                <c:pt idx="7">
                  <c:v>7.3416666666666686</c:v>
                </c:pt>
                <c:pt idx="8">
                  <c:v>8.3904761904761926</c:v>
                </c:pt>
                <c:pt idx="9">
                  <c:v>9.4392857142857167</c:v>
                </c:pt>
                <c:pt idx="10">
                  <c:v>10.488095238095241</c:v>
                </c:pt>
                <c:pt idx="11">
                  <c:v>11.536904761904765</c:v>
                </c:pt>
                <c:pt idx="12">
                  <c:v>12.585714285714289</c:v>
                </c:pt>
                <c:pt idx="13">
                  <c:v>13.634523809523813</c:v>
                </c:pt>
                <c:pt idx="14">
                  <c:v>14.683333333333337</c:v>
                </c:pt>
                <c:pt idx="15">
                  <c:v>15.732142857142861</c:v>
                </c:pt>
                <c:pt idx="16">
                  <c:v>16.780952380952385</c:v>
                </c:pt>
                <c:pt idx="17">
                  <c:v>17.829761904761909</c:v>
                </c:pt>
                <c:pt idx="18">
                  <c:v>18.878571428571433</c:v>
                </c:pt>
                <c:pt idx="19">
                  <c:v>19.927380952380958</c:v>
                </c:pt>
                <c:pt idx="20">
                  <c:v>20.976190476190482</c:v>
                </c:pt>
                <c:pt idx="21">
                  <c:v>22.025000000000006</c:v>
                </c:pt>
                <c:pt idx="22">
                  <c:v>23.07380952380953</c:v>
                </c:pt>
                <c:pt idx="23">
                  <c:v>24.122619047619054</c:v>
                </c:pt>
                <c:pt idx="24">
                  <c:v>25.171428571428578</c:v>
                </c:pt>
                <c:pt idx="25">
                  <c:v>26.220238095238102</c:v>
                </c:pt>
                <c:pt idx="26">
                  <c:v>27.269047619047626</c:v>
                </c:pt>
                <c:pt idx="27">
                  <c:v>28.31785714285715</c:v>
                </c:pt>
                <c:pt idx="28">
                  <c:v>29.366666666666674</c:v>
                </c:pt>
                <c:pt idx="29">
                  <c:v>30.415476190476198</c:v>
                </c:pt>
                <c:pt idx="30">
                  <c:v>31.464285714285722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6CF-4568-B82B-B185E5597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Day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잔액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504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11</xdr:row>
      <xdr:rowOff>0</xdr:rowOff>
    </xdr:from>
    <xdr:ext cx="504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  <pageSetUpPr fitToPage="1"/>
  </sheetPr>
  <dimension ref="A1:J25"/>
  <sheetViews>
    <sheetView showGridLines="0" tabSelected="1" zoomScale="90" workbookViewId="0">
      <pane ySplit="4" topLeftCell="A5" activePane="bottomLeft" state="frozen"/>
      <selection pane="bottomLeft" sqref="A1:J1"/>
    </sheetView>
  </sheetViews>
  <sheetFormatPr defaultRowHeight="16.5" x14ac:dyDescent="0.3"/>
  <cols>
    <col min="1" max="1" width="18" customWidth="1"/>
    <col min="2" max="3" width="42" customWidth="1"/>
    <col min="4" max="4" width="32" customWidth="1"/>
    <col min="5" max="5" width="4" customWidth="1"/>
    <col min="6" max="10" width="16" customWidth="1"/>
  </cols>
  <sheetData>
    <row r="1" spans="1:10" ht="30" customHeight="1" x14ac:dyDescent="0.3">
      <c r="A1" s="29" t="s">
        <v>0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32.1" customHeight="1" x14ac:dyDescent="0.3">
      <c r="A2" s="31" t="s">
        <v>1</v>
      </c>
      <c r="B2" s="28"/>
      <c r="C2" s="28"/>
      <c r="D2" s="28"/>
      <c r="E2" s="28"/>
      <c r="F2" s="28"/>
      <c r="G2" s="28"/>
      <c r="H2" s="28"/>
      <c r="I2" s="28"/>
      <c r="J2" s="28"/>
    </row>
    <row r="4" spans="1:10" ht="24" customHeight="1" x14ac:dyDescent="0.3">
      <c r="A4" s="30" t="s">
        <v>2</v>
      </c>
      <c r="B4" s="28"/>
      <c r="C4" s="28"/>
      <c r="D4" s="28"/>
      <c r="E4" s="28"/>
      <c r="F4" s="28"/>
      <c r="G4" s="28"/>
      <c r="H4" s="28"/>
      <c r="I4" s="28"/>
      <c r="J4" s="28"/>
    </row>
    <row r="5" spans="1:10" ht="27.95" customHeight="1" x14ac:dyDescent="0.3">
      <c r="A5" s="1" t="s">
        <v>3</v>
      </c>
      <c r="B5" s="1" t="s">
        <v>4</v>
      </c>
      <c r="C5" s="1" t="s">
        <v>5</v>
      </c>
      <c r="D5" s="1" t="s">
        <v>6</v>
      </c>
    </row>
    <row r="6" spans="1:10" x14ac:dyDescent="0.3">
      <c r="A6" s="2" t="s">
        <v>7</v>
      </c>
      <c r="B6" s="2" t="s">
        <v>8</v>
      </c>
      <c r="C6" s="2" t="s">
        <v>9</v>
      </c>
      <c r="D6" s="2" t="s">
        <v>10</v>
      </c>
    </row>
    <row r="7" spans="1:10" x14ac:dyDescent="0.3">
      <c r="A7" s="2" t="s">
        <v>11</v>
      </c>
      <c r="B7" s="2" t="s">
        <v>12</v>
      </c>
      <c r="C7" s="2" t="s">
        <v>13</v>
      </c>
      <c r="D7" s="2" t="s">
        <v>14</v>
      </c>
    </row>
    <row r="8" spans="1:10" x14ac:dyDescent="0.3">
      <c r="A8" s="2" t="s">
        <v>15</v>
      </c>
      <c r="B8" s="2" t="s">
        <v>16</v>
      </c>
      <c r="C8" s="2" t="s">
        <v>17</v>
      </c>
      <c r="D8" s="2" t="s">
        <v>18</v>
      </c>
    </row>
    <row r="9" spans="1:10" x14ac:dyDescent="0.3">
      <c r="A9" s="2" t="s">
        <v>19</v>
      </c>
      <c r="B9" s="2" t="s">
        <v>20</v>
      </c>
      <c r="C9" s="2" t="s">
        <v>21</v>
      </c>
      <c r="D9" s="2" t="s">
        <v>22</v>
      </c>
    </row>
    <row r="10" spans="1:10" x14ac:dyDescent="0.3">
      <c r="A10" s="2" t="s">
        <v>23</v>
      </c>
      <c r="B10" s="2" t="s">
        <v>24</v>
      </c>
      <c r="C10" s="2" t="s">
        <v>25</v>
      </c>
      <c r="D10" s="2" t="s">
        <v>26</v>
      </c>
    </row>
    <row r="11" spans="1:10" x14ac:dyDescent="0.3">
      <c r="A11" s="2" t="s">
        <v>27</v>
      </c>
      <c r="B11" s="2" t="s">
        <v>28</v>
      </c>
      <c r="C11" s="2" t="s">
        <v>29</v>
      </c>
      <c r="D11" s="2" t="s">
        <v>30</v>
      </c>
    </row>
    <row r="13" spans="1:10" ht="24" customHeight="1" x14ac:dyDescent="0.3">
      <c r="A13" s="30" t="s">
        <v>31</v>
      </c>
      <c r="B13" s="28"/>
      <c r="C13" s="28"/>
      <c r="D13" s="28"/>
      <c r="E13" s="28"/>
      <c r="F13" s="28"/>
      <c r="G13" s="28"/>
      <c r="H13" s="28"/>
      <c r="I13" s="28"/>
      <c r="J13" s="28"/>
    </row>
    <row r="14" spans="1:10" x14ac:dyDescent="0.3">
      <c r="A14" s="27" t="s">
        <v>32</v>
      </c>
      <c r="B14" s="28"/>
      <c r="C14" s="28"/>
      <c r="D14" s="28"/>
      <c r="E14" s="28"/>
      <c r="F14" s="28"/>
      <c r="G14" s="28"/>
      <c r="H14" s="28"/>
    </row>
    <row r="15" spans="1:10" x14ac:dyDescent="0.3">
      <c r="A15" s="27" t="s">
        <v>33</v>
      </c>
      <c r="B15" s="28"/>
      <c r="C15" s="28"/>
      <c r="D15" s="28"/>
      <c r="E15" s="28"/>
      <c r="F15" s="28"/>
      <c r="G15" s="28"/>
      <c r="H15" s="28"/>
    </row>
    <row r="16" spans="1:10" x14ac:dyDescent="0.3">
      <c r="A16" s="27" t="s">
        <v>34</v>
      </c>
      <c r="B16" s="28"/>
      <c r="C16" s="28"/>
      <c r="D16" s="28"/>
      <c r="E16" s="28"/>
      <c r="F16" s="28"/>
      <c r="G16" s="28"/>
      <c r="H16" s="28"/>
    </row>
    <row r="17" spans="1:10" x14ac:dyDescent="0.3">
      <c r="A17" s="27" t="s">
        <v>35</v>
      </c>
      <c r="B17" s="28"/>
      <c r="C17" s="28"/>
      <c r="D17" s="28"/>
      <c r="E17" s="28"/>
      <c r="F17" s="28"/>
      <c r="G17" s="28"/>
      <c r="H17" s="28"/>
    </row>
    <row r="18" spans="1:10" x14ac:dyDescent="0.3">
      <c r="A18" s="27" t="s">
        <v>36</v>
      </c>
      <c r="B18" s="28"/>
      <c r="C18" s="28"/>
      <c r="D18" s="28"/>
      <c r="E18" s="28"/>
      <c r="F18" s="28"/>
      <c r="G18" s="28"/>
      <c r="H18" s="28"/>
    </row>
    <row r="21" spans="1:10" ht="24" customHeight="1" x14ac:dyDescent="0.3">
      <c r="A21" s="30" t="s">
        <v>37</v>
      </c>
      <c r="B21" s="28"/>
      <c r="C21" s="28"/>
      <c r="D21" s="28"/>
      <c r="E21" s="28"/>
      <c r="F21" s="28"/>
      <c r="G21" s="28"/>
      <c r="H21" s="28"/>
      <c r="I21" s="28"/>
      <c r="J21" s="28"/>
    </row>
    <row r="22" spans="1:10" x14ac:dyDescent="0.3">
      <c r="A22" s="3" t="s">
        <v>38</v>
      </c>
      <c r="B22" s="4" t="s">
        <v>39</v>
      </c>
    </row>
    <row r="23" spans="1:10" x14ac:dyDescent="0.3">
      <c r="A23" s="5" t="s">
        <v>40</v>
      </c>
      <c r="B23" s="4" t="s">
        <v>41</v>
      </c>
    </row>
    <row r="24" spans="1:10" x14ac:dyDescent="0.3">
      <c r="A24" s="6" t="s">
        <v>42</v>
      </c>
      <c r="B24" s="4" t="s">
        <v>43</v>
      </c>
    </row>
    <row r="25" spans="1:10" x14ac:dyDescent="0.3">
      <c r="A25" s="7" t="s">
        <v>44</v>
      </c>
      <c r="B25" s="4" t="s">
        <v>45</v>
      </c>
    </row>
  </sheetData>
  <mergeCells count="10">
    <mergeCell ref="A18:H18"/>
    <mergeCell ref="A1:J1"/>
    <mergeCell ref="A15:H15"/>
    <mergeCell ref="A16:H16"/>
    <mergeCell ref="A21:J21"/>
    <mergeCell ref="A4:J4"/>
    <mergeCell ref="A14:H14"/>
    <mergeCell ref="A2:J2"/>
    <mergeCell ref="A13:J13"/>
    <mergeCell ref="A17:H17"/>
  </mergeCells>
  <phoneticPr fontId="7" type="noConversion"/>
  <printOptions horizontalCentered="1"/>
  <pageMargins left="0.75" right="0.75" top="1" bottom="1" header="0.5" footer="0.5"/>
  <pageSetup scale="5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75B5"/>
    <pageSetUpPr fitToPage="1"/>
  </sheetPr>
  <dimension ref="A1:J12"/>
  <sheetViews>
    <sheetView showGridLines="0" zoomScale="90" workbookViewId="0">
      <pane ySplit="4" topLeftCell="A5" activePane="bottomLeft" state="frozen"/>
      <selection pane="bottomLeft"/>
    </sheetView>
  </sheetViews>
  <sheetFormatPr defaultRowHeight="16.5" x14ac:dyDescent="0.3"/>
  <cols>
    <col min="1" max="1" width="16" customWidth="1"/>
    <col min="2" max="2" width="15" customWidth="1"/>
    <col min="3" max="3" width="36" customWidth="1"/>
    <col min="4" max="4" width="26" customWidth="1"/>
    <col min="5" max="5" width="43" customWidth="1"/>
    <col min="6" max="6" width="28" customWidth="1"/>
    <col min="7" max="7" width="18" customWidth="1"/>
  </cols>
  <sheetData>
    <row r="1" spans="1:10" ht="30" customHeight="1" x14ac:dyDescent="0.3">
      <c r="A1" s="29" t="s">
        <v>46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32.1" customHeight="1" x14ac:dyDescent="0.3">
      <c r="A2" s="31" t="s">
        <v>47</v>
      </c>
      <c r="B2" s="28"/>
      <c r="C2" s="28"/>
      <c r="D2" s="28"/>
      <c r="E2" s="28"/>
      <c r="F2" s="28"/>
      <c r="G2" s="28"/>
      <c r="H2" s="28"/>
      <c r="I2" s="28"/>
      <c r="J2" s="28"/>
    </row>
    <row r="4" spans="1:10" ht="27.95" customHeight="1" x14ac:dyDescent="0.3">
      <c r="A4" s="1" t="s">
        <v>48</v>
      </c>
      <c r="B4" s="1" t="s">
        <v>49</v>
      </c>
      <c r="C4" s="1" t="s">
        <v>50</v>
      </c>
      <c r="D4" s="1" t="s">
        <v>51</v>
      </c>
      <c r="E4" s="1" t="s">
        <v>52</v>
      </c>
      <c r="F4" s="1" t="s">
        <v>53</v>
      </c>
      <c r="G4" s="1" t="s">
        <v>54</v>
      </c>
    </row>
    <row r="5" spans="1:10" x14ac:dyDescent="0.3">
      <c r="A5" s="2" t="s">
        <v>55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</row>
    <row r="6" spans="1:10" ht="27" x14ac:dyDescent="0.3">
      <c r="A6" s="2" t="s">
        <v>62</v>
      </c>
      <c r="B6" s="2" t="s">
        <v>63</v>
      </c>
      <c r="C6" s="2" t="s">
        <v>64</v>
      </c>
      <c r="D6" s="2" t="s">
        <v>65</v>
      </c>
      <c r="E6" s="2" t="s">
        <v>66</v>
      </c>
      <c r="F6" s="2" t="s">
        <v>67</v>
      </c>
      <c r="G6" s="2" t="s">
        <v>61</v>
      </c>
    </row>
    <row r="7" spans="1:10" x14ac:dyDescent="0.3">
      <c r="A7" s="2" t="s">
        <v>68</v>
      </c>
      <c r="B7" s="2" t="s">
        <v>69</v>
      </c>
      <c r="C7" s="2" t="s">
        <v>70</v>
      </c>
      <c r="D7" s="2" t="s">
        <v>71</v>
      </c>
      <c r="E7" s="2" t="s">
        <v>72</v>
      </c>
      <c r="F7" s="2" t="s">
        <v>73</v>
      </c>
      <c r="G7" s="2" t="s">
        <v>61</v>
      </c>
    </row>
    <row r="8" spans="1:10" x14ac:dyDescent="0.3">
      <c r="A8" s="2" t="s">
        <v>11</v>
      </c>
      <c r="B8" s="2" t="s">
        <v>74</v>
      </c>
      <c r="C8" s="2" t="s">
        <v>75</v>
      </c>
      <c r="D8" s="2" t="s">
        <v>76</v>
      </c>
      <c r="E8" s="2" t="s">
        <v>77</v>
      </c>
      <c r="F8" s="2" t="s">
        <v>60</v>
      </c>
      <c r="G8" s="2" t="s">
        <v>61</v>
      </c>
    </row>
    <row r="9" spans="1:10" ht="27" x14ac:dyDescent="0.3">
      <c r="A9" s="2" t="s">
        <v>15</v>
      </c>
      <c r="B9" s="2" t="s">
        <v>69</v>
      </c>
      <c r="C9" s="2" t="s">
        <v>78</v>
      </c>
      <c r="D9" s="2" t="s">
        <v>79</v>
      </c>
      <c r="E9" s="2" t="s">
        <v>77</v>
      </c>
      <c r="F9" s="2" t="s">
        <v>60</v>
      </c>
      <c r="G9" s="2" t="s">
        <v>61</v>
      </c>
    </row>
    <row r="10" spans="1:10" x14ac:dyDescent="0.3">
      <c r="A10" s="2" t="s">
        <v>23</v>
      </c>
      <c r="B10" s="2" t="s">
        <v>80</v>
      </c>
      <c r="C10" s="2" t="s">
        <v>81</v>
      </c>
      <c r="D10" s="2" t="s">
        <v>82</v>
      </c>
      <c r="E10" s="2" t="s">
        <v>83</v>
      </c>
      <c r="F10" s="2" t="s">
        <v>60</v>
      </c>
      <c r="G10" s="2" t="s">
        <v>61</v>
      </c>
    </row>
    <row r="11" spans="1:10" x14ac:dyDescent="0.3">
      <c r="A11" s="2" t="s">
        <v>84</v>
      </c>
      <c r="B11" s="2" t="s">
        <v>85</v>
      </c>
      <c r="C11" s="2" t="s">
        <v>86</v>
      </c>
      <c r="D11" s="2" t="s">
        <v>87</v>
      </c>
      <c r="E11" s="2" t="s">
        <v>88</v>
      </c>
      <c r="F11" s="2" t="s">
        <v>89</v>
      </c>
      <c r="G11" s="2" t="s">
        <v>90</v>
      </c>
    </row>
    <row r="12" spans="1:10" x14ac:dyDescent="0.3">
      <c r="A12" s="2" t="s">
        <v>91</v>
      </c>
      <c r="B12" s="2" t="s">
        <v>85</v>
      </c>
      <c r="C12" s="2" t="s">
        <v>92</v>
      </c>
      <c r="D12" s="2" t="s">
        <v>93</v>
      </c>
      <c r="E12" s="2" t="s">
        <v>94</v>
      </c>
      <c r="F12" s="2" t="s">
        <v>89</v>
      </c>
      <c r="G12" s="2" t="s">
        <v>90</v>
      </c>
    </row>
  </sheetData>
  <autoFilter ref="A4:G12" xr:uid="{00000000-0009-0000-0000-000001000000}"/>
  <mergeCells count="2">
    <mergeCell ref="A1:J1"/>
    <mergeCell ref="A2:J2"/>
  </mergeCells>
  <phoneticPr fontId="7" type="noConversion"/>
  <printOptions horizontalCentered="1"/>
  <pageMargins left="0.75" right="0.75" top="1" bottom="1" header="0.5" footer="0.5"/>
  <pageSetup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75B5"/>
    <pageSetUpPr fitToPage="1"/>
  </sheetPr>
  <dimension ref="A1:K26"/>
  <sheetViews>
    <sheetView showGridLines="0" zoomScale="90" workbookViewId="0">
      <pane ySplit="5" topLeftCell="A6" activePane="bottomLeft" state="frozen"/>
      <selection pane="bottomLeft"/>
    </sheetView>
  </sheetViews>
  <sheetFormatPr defaultRowHeight="16.5" x14ac:dyDescent="0.3"/>
  <cols>
    <col min="1" max="1" width="25" customWidth="1"/>
    <col min="2" max="2" width="14" customWidth="1"/>
    <col min="3" max="3" width="13" customWidth="1"/>
    <col min="4" max="4" width="48" customWidth="1"/>
    <col min="5" max="5" width="18" customWidth="1"/>
    <col min="6" max="6" width="20" customWidth="1"/>
    <col min="7" max="7" width="17" customWidth="1"/>
    <col min="8" max="11" width="18" customWidth="1"/>
  </cols>
  <sheetData>
    <row r="1" spans="1:11" ht="30" customHeight="1" x14ac:dyDescent="0.3">
      <c r="A1" s="29" t="s">
        <v>95</v>
      </c>
      <c r="B1" s="28"/>
      <c r="C1" s="28"/>
      <c r="D1" s="28"/>
      <c r="E1" s="28"/>
      <c r="F1" s="28"/>
      <c r="G1" s="28"/>
      <c r="H1" s="28"/>
      <c r="I1" s="28"/>
      <c r="J1" s="28"/>
    </row>
    <row r="2" spans="1:11" ht="32.1" customHeight="1" x14ac:dyDescent="0.3">
      <c r="A2" s="31" t="s">
        <v>96</v>
      </c>
      <c r="B2" s="28"/>
      <c r="C2" s="28"/>
      <c r="D2" s="28"/>
      <c r="E2" s="28"/>
      <c r="F2" s="28"/>
      <c r="G2" s="28"/>
      <c r="H2" s="28"/>
      <c r="I2" s="28"/>
      <c r="J2" s="28"/>
    </row>
    <row r="4" spans="1:11" x14ac:dyDescent="0.3">
      <c r="A4" s="8" t="s">
        <v>97</v>
      </c>
      <c r="B4" s="9" t="s">
        <v>98</v>
      </c>
    </row>
    <row r="6" spans="1:11" ht="27.95" customHeight="1" x14ac:dyDescent="0.3">
      <c r="A6" s="1" t="s">
        <v>99</v>
      </c>
      <c r="B6" s="1" t="s">
        <v>100</v>
      </c>
      <c r="C6" s="1" t="s">
        <v>101</v>
      </c>
      <c r="D6" s="1" t="s">
        <v>102</v>
      </c>
      <c r="E6" s="1" t="s">
        <v>103</v>
      </c>
      <c r="F6" s="1" t="s">
        <v>104</v>
      </c>
      <c r="G6" s="1" t="s">
        <v>105</v>
      </c>
      <c r="H6" s="1" t="s">
        <v>106</v>
      </c>
      <c r="I6" s="1" t="s">
        <v>107</v>
      </c>
      <c r="J6" s="1" t="s">
        <v>108</v>
      </c>
      <c r="K6" s="1" t="s">
        <v>109</v>
      </c>
    </row>
    <row r="7" spans="1:11" x14ac:dyDescent="0.3">
      <c r="A7" s="2" t="s">
        <v>110</v>
      </c>
      <c r="B7" s="10">
        <v>4</v>
      </c>
      <c r="C7" s="11">
        <v>0.45</v>
      </c>
      <c r="D7" s="10">
        <v>2.5</v>
      </c>
      <c r="E7" s="10">
        <v>1</v>
      </c>
      <c r="F7" s="10">
        <v>0.3</v>
      </c>
      <c r="G7" s="10">
        <v>1</v>
      </c>
      <c r="H7" s="10">
        <v>0.5</v>
      </c>
      <c r="I7" s="10">
        <v>0.5</v>
      </c>
      <c r="J7" s="10">
        <v>0.25</v>
      </c>
      <c r="K7" s="10">
        <v>0.15</v>
      </c>
    </row>
    <row r="8" spans="1:11" x14ac:dyDescent="0.3">
      <c r="A8" s="2" t="s">
        <v>98</v>
      </c>
      <c r="B8" s="10">
        <v>6</v>
      </c>
      <c r="C8" s="11">
        <v>0.55000000000000004</v>
      </c>
      <c r="D8" s="10">
        <v>3</v>
      </c>
      <c r="E8" s="10">
        <v>2</v>
      </c>
      <c r="F8" s="10">
        <v>0.6</v>
      </c>
      <c r="G8" s="10">
        <v>2</v>
      </c>
      <c r="H8" s="10">
        <v>1</v>
      </c>
      <c r="I8" s="10">
        <v>1</v>
      </c>
      <c r="J8" s="10">
        <v>0.5</v>
      </c>
      <c r="K8" s="10">
        <v>0.3</v>
      </c>
    </row>
    <row r="9" spans="1:11" x14ac:dyDescent="0.3">
      <c r="A9" s="2" t="s">
        <v>111</v>
      </c>
      <c r="B9" s="10">
        <v>10</v>
      </c>
      <c r="C9" s="11">
        <v>0.65</v>
      </c>
      <c r="D9" s="10">
        <v>4</v>
      </c>
      <c r="E9" s="10">
        <v>4</v>
      </c>
      <c r="F9" s="10">
        <v>1.2</v>
      </c>
      <c r="G9" s="10">
        <v>4</v>
      </c>
      <c r="H9" s="10">
        <v>2</v>
      </c>
      <c r="I9" s="10">
        <v>2</v>
      </c>
      <c r="J9" s="10">
        <v>1</v>
      </c>
      <c r="K9" s="10">
        <v>0.6</v>
      </c>
    </row>
    <row r="12" spans="1:11" ht="24" customHeight="1" x14ac:dyDescent="0.3">
      <c r="A12" s="30" t="s">
        <v>112</v>
      </c>
      <c r="B12" s="28"/>
      <c r="C12" s="28"/>
      <c r="D12" s="28"/>
      <c r="E12" s="28"/>
      <c r="F12" s="28"/>
      <c r="G12" s="28"/>
      <c r="H12" s="28"/>
      <c r="I12" s="28"/>
      <c r="J12" s="28"/>
    </row>
    <row r="13" spans="1:11" ht="27.95" customHeight="1" x14ac:dyDescent="0.3">
      <c r="A13" s="1" t="s">
        <v>113</v>
      </c>
      <c r="B13" s="1" t="s">
        <v>114</v>
      </c>
      <c r="C13" s="1" t="s">
        <v>115</v>
      </c>
      <c r="D13" s="1" t="s">
        <v>116</v>
      </c>
    </row>
    <row r="14" spans="1:11" x14ac:dyDescent="0.3">
      <c r="A14" s="2" t="s">
        <v>117</v>
      </c>
      <c r="B14" s="10">
        <v>28</v>
      </c>
      <c r="C14" s="2" t="s">
        <v>118</v>
      </c>
      <c r="D14" s="2" t="s">
        <v>119</v>
      </c>
    </row>
    <row r="15" spans="1:11" x14ac:dyDescent="0.3">
      <c r="A15" s="2" t="s">
        <v>120</v>
      </c>
      <c r="B15" s="10">
        <v>500</v>
      </c>
      <c r="C15" s="2" t="s">
        <v>121</v>
      </c>
      <c r="D15" s="2" t="s">
        <v>122</v>
      </c>
    </row>
    <row r="16" spans="1:11" x14ac:dyDescent="0.3">
      <c r="A16" s="2" t="s">
        <v>123</v>
      </c>
      <c r="B16" s="10">
        <v>100</v>
      </c>
      <c r="C16" s="2" t="s">
        <v>121</v>
      </c>
      <c r="D16" s="2" t="s">
        <v>122</v>
      </c>
    </row>
    <row r="17" spans="1:4" x14ac:dyDescent="0.3">
      <c r="A17" s="2" t="s">
        <v>124</v>
      </c>
      <c r="B17" s="10">
        <v>0</v>
      </c>
      <c r="C17" s="2" t="s">
        <v>121</v>
      </c>
      <c r="D17" s="2" t="s">
        <v>125</v>
      </c>
    </row>
    <row r="18" spans="1:4" x14ac:dyDescent="0.3">
      <c r="A18" s="2" t="s">
        <v>126</v>
      </c>
      <c r="B18" s="10">
        <v>0</v>
      </c>
      <c r="C18" s="2" t="s">
        <v>121</v>
      </c>
      <c r="D18" s="2" t="s">
        <v>125</v>
      </c>
    </row>
    <row r="19" spans="1:4" x14ac:dyDescent="0.3">
      <c r="A19" s="2" t="s">
        <v>127</v>
      </c>
      <c r="B19" s="10">
        <v>0</v>
      </c>
      <c r="C19" s="2" t="s">
        <v>121</v>
      </c>
      <c r="D19" s="2" t="s">
        <v>128</v>
      </c>
    </row>
    <row r="20" spans="1:4" x14ac:dyDescent="0.3">
      <c r="A20" s="2" t="s">
        <v>129</v>
      </c>
      <c r="B20" s="10">
        <v>250</v>
      </c>
      <c r="C20" s="2" t="s">
        <v>56</v>
      </c>
      <c r="D20" s="2" t="s">
        <v>130</v>
      </c>
    </row>
    <row r="21" spans="1:4" x14ac:dyDescent="0.3">
      <c r="A21" s="2" t="s">
        <v>131</v>
      </c>
      <c r="B21" s="10">
        <v>400</v>
      </c>
      <c r="C21" s="2" t="s">
        <v>56</v>
      </c>
      <c r="D21" s="2" t="s">
        <v>132</v>
      </c>
    </row>
    <row r="22" spans="1:4" x14ac:dyDescent="0.3">
      <c r="A22" s="2" t="s">
        <v>133</v>
      </c>
      <c r="B22" s="10">
        <v>30</v>
      </c>
      <c r="C22" s="2" t="s">
        <v>134</v>
      </c>
      <c r="D22" s="2" t="s">
        <v>135</v>
      </c>
    </row>
    <row r="23" spans="1:4" x14ac:dyDescent="0.3">
      <c r="A23" s="2" t="s">
        <v>136</v>
      </c>
      <c r="B23" s="11">
        <v>0.45</v>
      </c>
      <c r="C23" s="2" t="s">
        <v>137</v>
      </c>
      <c r="D23" s="2" t="s">
        <v>138</v>
      </c>
    </row>
    <row r="24" spans="1:4" x14ac:dyDescent="0.3">
      <c r="A24" s="2" t="s">
        <v>139</v>
      </c>
      <c r="B24" s="10">
        <v>1</v>
      </c>
      <c r="C24" s="2" t="s">
        <v>121</v>
      </c>
      <c r="D24" s="2" t="s">
        <v>72</v>
      </c>
    </row>
    <row r="25" spans="1:4" x14ac:dyDescent="0.3">
      <c r="A25" s="2" t="s">
        <v>140</v>
      </c>
      <c r="B25" s="10">
        <v>30</v>
      </c>
      <c r="C25" s="2" t="s">
        <v>118</v>
      </c>
      <c r="D25" s="2" t="s">
        <v>141</v>
      </c>
    </row>
    <row r="26" spans="1:4" x14ac:dyDescent="0.3">
      <c r="A26" s="2" t="s">
        <v>142</v>
      </c>
      <c r="B26" s="11">
        <v>0.7</v>
      </c>
      <c r="C26" s="2" t="s">
        <v>137</v>
      </c>
      <c r="D26" s="2" t="s">
        <v>143</v>
      </c>
    </row>
  </sheetData>
  <mergeCells count="3">
    <mergeCell ref="A1:J1"/>
    <mergeCell ref="A12:J12"/>
    <mergeCell ref="A2:J2"/>
  </mergeCells>
  <phoneticPr fontId="7" type="noConversion"/>
  <dataValidations count="1">
    <dataValidation type="list" sqref="B4" xr:uid="{00000000-0002-0000-0200-000000000000}">
      <formula1>"라이트,표준,하드코어"</formula1>
    </dataValidation>
  </dataValidations>
  <printOptions horizontalCentered="1"/>
  <pageMargins left="0.75" right="0.75" top="1" bottom="1" header="0.5" footer="0.5"/>
  <pageSetup scale="49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75B5"/>
    <pageSetUpPr fitToPage="1"/>
  </sheetPr>
  <dimension ref="A1:J8"/>
  <sheetViews>
    <sheetView showGridLines="0" zoomScale="90" workbookViewId="0">
      <pane ySplit="4" topLeftCell="A5" activePane="bottomLeft" state="frozen"/>
      <selection pane="bottomLeft"/>
    </sheetView>
  </sheetViews>
  <sheetFormatPr defaultRowHeight="16.5" x14ac:dyDescent="0.3"/>
  <cols>
    <col min="1" max="1" width="15" customWidth="1"/>
    <col min="2" max="2" width="14" customWidth="1"/>
    <col min="3" max="3" width="12" customWidth="1"/>
    <col min="4" max="5" width="16" customWidth="1"/>
    <col min="6" max="7" width="18" customWidth="1"/>
    <col min="8" max="10" width="15" customWidth="1"/>
  </cols>
  <sheetData>
    <row r="1" spans="1:10" ht="30" customHeight="1" x14ac:dyDescent="0.3">
      <c r="A1" s="29" t="s">
        <v>144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32.1" customHeight="1" x14ac:dyDescent="0.3">
      <c r="A2" s="31" t="s">
        <v>145</v>
      </c>
      <c r="B2" s="28"/>
      <c r="C2" s="28"/>
      <c r="D2" s="28"/>
      <c r="E2" s="28"/>
      <c r="F2" s="28"/>
      <c r="G2" s="28"/>
      <c r="H2" s="28"/>
      <c r="I2" s="28"/>
      <c r="J2" s="28"/>
    </row>
    <row r="4" spans="1:10" ht="27.95" customHeight="1" x14ac:dyDescent="0.3">
      <c r="A4" s="1" t="s">
        <v>146</v>
      </c>
      <c r="B4" s="1" t="s">
        <v>147</v>
      </c>
      <c r="C4" s="1" t="s">
        <v>148</v>
      </c>
      <c r="D4" s="1" t="s">
        <v>149</v>
      </c>
      <c r="E4" s="1" t="s">
        <v>150</v>
      </c>
      <c r="F4" s="1" t="s">
        <v>151</v>
      </c>
      <c r="G4" s="1" t="s">
        <v>152</v>
      </c>
      <c r="H4" s="1" t="s">
        <v>153</v>
      </c>
      <c r="I4" s="1" t="s">
        <v>154</v>
      </c>
      <c r="J4" s="1" t="s">
        <v>155</v>
      </c>
    </row>
    <row r="5" spans="1:10" x14ac:dyDescent="0.3">
      <c r="A5" s="2" t="s">
        <v>156</v>
      </c>
      <c r="B5" s="2" t="s">
        <v>56</v>
      </c>
      <c r="C5" s="12">
        <f>INDEX('02_공통파라미터'!$C$7:$C$9,MATCH('02_공통파라미터'!$B$4,'02_공통파라미터'!$A$7:$A$9,0))</f>
        <v>0.55000000000000004</v>
      </c>
      <c r="D5" s="13">
        <v>10</v>
      </c>
      <c r="E5" s="13">
        <v>10</v>
      </c>
      <c r="F5" s="14">
        <f>INDEX('02_공통파라미터'!$D$7:$D$9,MATCH('02_공통파라미터'!$B$4,'02_공통파라미터'!$A$7:$A$9,0))</f>
        <v>3</v>
      </c>
      <c r="G5" s="14">
        <f>MAX(D5*F5,E5)</f>
        <v>30</v>
      </c>
      <c r="H5" s="14">
        <f>INDEX('02_공통파라미터'!$B$7:$B$9,MATCH('02_공통파라미터'!$B$4,'02_공통파라미터'!$A$7:$A$9,0))*C5</f>
        <v>3.3000000000000003</v>
      </c>
      <c r="I5" s="14">
        <f>G5*H5</f>
        <v>99.000000000000014</v>
      </c>
      <c r="J5" s="14">
        <f>I5*7</f>
        <v>693.00000000000011</v>
      </c>
    </row>
    <row r="6" spans="1:10" x14ac:dyDescent="0.3">
      <c r="A6" s="2" t="s">
        <v>157</v>
      </c>
      <c r="B6" s="2" t="s">
        <v>56</v>
      </c>
      <c r="C6" s="12">
        <f>1-C5</f>
        <v>0.44999999999999996</v>
      </c>
      <c r="D6" s="13">
        <v>0</v>
      </c>
      <c r="E6" s="13">
        <v>5</v>
      </c>
      <c r="F6" s="15">
        <v>0</v>
      </c>
      <c r="G6" s="14">
        <f>E6</f>
        <v>5</v>
      </c>
      <c r="H6" s="14">
        <f>INDEX('02_공통파라미터'!$B$7:$B$9,MATCH('02_공통파라미터'!$B$4,'02_공통파라미터'!$A$7:$A$9,0))*C6</f>
        <v>2.6999999999999997</v>
      </c>
      <c r="I6" s="14">
        <f>G6*H6</f>
        <v>13.499999999999998</v>
      </c>
      <c r="J6" s="14">
        <f>I6*7</f>
        <v>94.499999999999986</v>
      </c>
    </row>
    <row r="8" spans="1:10" x14ac:dyDescent="0.3">
      <c r="A8" s="8" t="s">
        <v>158</v>
      </c>
      <c r="D8" s="16"/>
      <c r="E8" s="16"/>
      <c r="F8" s="16"/>
      <c r="G8" s="16"/>
      <c r="H8" s="16"/>
      <c r="I8" s="17">
        <f>SUM(I5:I6)</f>
        <v>112.50000000000001</v>
      </c>
      <c r="J8" s="17">
        <f>SUM(J5:J6)</f>
        <v>787.50000000000011</v>
      </c>
    </row>
  </sheetData>
  <mergeCells count="2">
    <mergeCell ref="A1:J1"/>
    <mergeCell ref="A2:J2"/>
  </mergeCells>
  <phoneticPr fontId="7" type="noConversion"/>
  <printOptions horizontalCentered="1"/>
  <pageMargins left="0.75" right="0.75" top="1" bottom="1" header="0.5" footer="0.5"/>
  <pageSetup scale="72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F75B5"/>
    <pageSetUpPr fitToPage="1"/>
  </sheetPr>
  <dimension ref="A1:J18"/>
  <sheetViews>
    <sheetView showGridLines="0" zoomScale="90" workbookViewId="0">
      <pane ySplit="4" topLeftCell="A5" activePane="bottomLeft" state="frozen"/>
      <selection pane="bottomLeft"/>
    </sheetView>
  </sheetViews>
  <sheetFormatPr defaultRowHeight="16.5" x14ac:dyDescent="0.3"/>
  <cols>
    <col min="1" max="1" width="10" customWidth="1"/>
    <col min="2" max="2" width="20" customWidth="1"/>
    <col min="3" max="3" width="12" customWidth="1"/>
    <col min="4" max="5" width="14" customWidth="1"/>
    <col min="6" max="6" width="12" customWidth="1"/>
    <col min="7" max="8" width="16" customWidth="1"/>
    <col min="9" max="9" width="32" customWidth="1"/>
    <col min="10" max="10" width="12" customWidth="1"/>
  </cols>
  <sheetData>
    <row r="1" spans="1:10" ht="30" customHeight="1" x14ac:dyDescent="0.3">
      <c r="A1" s="29" t="s">
        <v>159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32.1" customHeight="1" x14ac:dyDescent="0.3">
      <c r="A2" s="31" t="s">
        <v>160</v>
      </c>
      <c r="B2" s="28"/>
      <c r="C2" s="28"/>
      <c r="D2" s="28"/>
      <c r="E2" s="28"/>
      <c r="F2" s="28"/>
      <c r="G2" s="28"/>
      <c r="H2" s="28"/>
      <c r="I2" s="28"/>
      <c r="J2" s="28"/>
    </row>
    <row r="4" spans="1:10" ht="27.95" customHeight="1" x14ac:dyDescent="0.3">
      <c r="A4" s="1" t="s">
        <v>161</v>
      </c>
      <c r="B4" s="1" t="s">
        <v>162</v>
      </c>
      <c r="C4" s="1" t="s">
        <v>163</v>
      </c>
      <c r="D4" s="1" t="s">
        <v>49</v>
      </c>
      <c r="E4" s="1" t="s">
        <v>164</v>
      </c>
      <c r="F4" s="1" t="s">
        <v>165</v>
      </c>
      <c r="G4" s="1" t="s">
        <v>166</v>
      </c>
      <c r="H4" s="1" t="s">
        <v>167</v>
      </c>
      <c r="I4" s="1" t="s">
        <v>168</v>
      </c>
      <c r="J4" s="1" t="s">
        <v>6</v>
      </c>
    </row>
    <row r="5" spans="1:10" x14ac:dyDescent="0.3">
      <c r="A5" s="18">
        <v>1</v>
      </c>
      <c r="B5" s="2" t="s">
        <v>169</v>
      </c>
      <c r="C5" s="2" t="s">
        <v>170</v>
      </c>
      <c r="D5" s="2" t="s">
        <v>80</v>
      </c>
      <c r="E5" s="10">
        <v>5</v>
      </c>
      <c r="F5" s="2" t="s">
        <v>171</v>
      </c>
      <c r="G5" s="19">
        <f>INDEX('02_공통파라미터'!$E$7:$E$9,MATCH('02_공통파라미터'!$B$4,'02_공통파라미터'!$A$7:$A$9,0))/6</f>
        <v>0.33333333333333331</v>
      </c>
      <c r="H5" s="14">
        <f t="shared" ref="H5:H16" si="0">E5*G5</f>
        <v>1.6666666666666665</v>
      </c>
      <c r="I5" s="2" t="s">
        <v>172</v>
      </c>
      <c r="J5" s="20" t="str">
        <f t="shared" ref="J5:J16" si="1">IF(OR(D5="Energy",D5="Shard"),"PASS","FAIL")</f>
        <v>PASS</v>
      </c>
    </row>
    <row r="6" spans="1:10" x14ac:dyDescent="0.3">
      <c r="A6" s="18">
        <v>1</v>
      </c>
      <c r="B6" s="2" t="s">
        <v>173</v>
      </c>
      <c r="C6" s="2" t="s">
        <v>170</v>
      </c>
      <c r="D6" s="2" t="s">
        <v>74</v>
      </c>
      <c r="E6" s="10">
        <v>20</v>
      </c>
      <c r="F6" s="2" t="s">
        <v>171</v>
      </c>
      <c r="G6" s="19">
        <f>INDEX('02_공통파라미터'!$E$7:$E$9,MATCH('02_공통파라미터'!$B$4,'02_공통파라미터'!$A$7:$A$9,0))/6</f>
        <v>0.33333333333333331</v>
      </c>
      <c r="H6" s="14">
        <f t="shared" si="0"/>
        <v>6.6666666666666661</v>
      </c>
      <c r="I6" s="2" t="s">
        <v>174</v>
      </c>
      <c r="J6" s="20" t="str">
        <f t="shared" si="1"/>
        <v>PASS</v>
      </c>
    </row>
    <row r="7" spans="1:10" x14ac:dyDescent="0.3">
      <c r="A7" s="18">
        <v>1</v>
      </c>
      <c r="B7" s="2" t="s">
        <v>175</v>
      </c>
      <c r="C7" s="2" t="s">
        <v>170</v>
      </c>
      <c r="D7" s="2" t="s">
        <v>80</v>
      </c>
      <c r="E7" s="10">
        <v>5</v>
      </c>
      <c r="F7" s="2" t="s">
        <v>171</v>
      </c>
      <c r="G7" s="19">
        <f>INDEX('02_공통파라미터'!$E$7:$E$9,MATCH('02_공통파라미터'!$B$4,'02_공통파라미터'!$A$7:$A$9,0))/6</f>
        <v>0.33333333333333331</v>
      </c>
      <c r="H7" s="14">
        <f t="shared" si="0"/>
        <v>1.6666666666666665</v>
      </c>
      <c r="I7" s="2" t="s">
        <v>176</v>
      </c>
      <c r="J7" s="20" t="str">
        <f t="shared" si="1"/>
        <v>PASS</v>
      </c>
    </row>
    <row r="8" spans="1:10" x14ac:dyDescent="0.3">
      <c r="A8" s="18">
        <v>1</v>
      </c>
      <c r="B8" s="2" t="s">
        <v>177</v>
      </c>
      <c r="C8" s="2" t="s">
        <v>170</v>
      </c>
      <c r="D8" s="2" t="s">
        <v>74</v>
      </c>
      <c r="E8" s="10">
        <v>20</v>
      </c>
      <c r="F8" s="2" t="s">
        <v>171</v>
      </c>
      <c r="G8" s="19">
        <f>INDEX('02_공통파라미터'!$E$7:$E$9,MATCH('02_공통파라미터'!$B$4,'02_공통파라미터'!$A$7:$A$9,0))/6</f>
        <v>0.33333333333333331</v>
      </c>
      <c r="H8" s="14">
        <f t="shared" si="0"/>
        <v>6.6666666666666661</v>
      </c>
      <c r="I8" s="2" t="s">
        <v>176</v>
      </c>
      <c r="J8" s="20" t="str">
        <f t="shared" si="1"/>
        <v>PASS</v>
      </c>
    </row>
    <row r="9" spans="1:10" x14ac:dyDescent="0.3">
      <c r="A9" s="18">
        <v>1</v>
      </c>
      <c r="B9" s="2" t="s">
        <v>178</v>
      </c>
      <c r="C9" s="2" t="s">
        <v>170</v>
      </c>
      <c r="D9" s="2" t="s">
        <v>80</v>
      </c>
      <c r="E9" s="10">
        <v>10</v>
      </c>
      <c r="F9" s="2" t="s">
        <v>171</v>
      </c>
      <c r="G9" s="19">
        <f>INDEX('02_공통파라미터'!$E$7:$E$9,MATCH('02_공통파라미터'!$B$4,'02_공통파라미터'!$A$7:$A$9,0))/6</f>
        <v>0.33333333333333331</v>
      </c>
      <c r="H9" s="14">
        <f t="shared" si="0"/>
        <v>3.333333333333333</v>
      </c>
      <c r="I9" s="2" t="s">
        <v>179</v>
      </c>
      <c r="J9" s="20" t="str">
        <f t="shared" si="1"/>
        <v>PASS</v>
      </c>
    </row>
    <row r="10" spans="1:10" x14ac:dyDescent="0.3">
      <c r="A10" s="18">
        <v>1</v>
      </c>
      <c r="B10" s="2" t="s">
        <v>180</v>
      </c>
      <c r="C10" s="2" t="s">
        <v>170</v>
      </c>
      <c r="D10" s="2" t="s">
        <v>74</v>
      </c>
      <c r="E10" s="10">
        <v>30</v>
      </c>
      <c r="F10" s="2" t="s">
        <v>171</v>
      </c>
      <c r="G10" s="19">
        <f>INDEX('02_공통파라미터'!$E$7:$E$9,MATCH('02_공통파라미터'!$B$4,'02_공통파라미터'!$A$7:$A$9,0))/6</f>
        <v>0.33333333333333331</v>
      </c>
      <c r="H10" s="14">
        <f t="shared" si="0"/>
        <v>10</v>
      </c>
      <c r="I10" s="2" t="s">
        <v>179</v>
      </c>
      <c r="J10" s="20" t="str">
        <f t="shared" si="1"/>
        <v>PASS</v>
      </c>
    </row>
    <row r="11" spans="1:10" x14ac:dyDescent="0.3">
      <c r="A11" s="18">
        <v>1</v>
      </c>
      <c r="B11" s="2" t="s">
        <v>181</v>
      </c>
      <c r="C11" s="2" t="s">
        <v>161</v>
      </c>
      <c r="D11" s="2" t="s">
        <v>80</v>
      </c>
      <c r="E11" s="10">
        <v>20</v>
      </c>
      <c r="F11" s="2" t="s">
        <v>171</v>
      </c>
      <c r="G11" s="19">
        <f>INDEX('02_공통파라미터'!$E$7:$E$9,MATCH('02_공통파라미터'!$B$4,'02_공통파라미터'!$A$7:$A$9,0))/6</f>
        <v>0.33333333333333331</v>
      </c>
      <c r="H11" s="14">
        <f t="shared" si="0"/>
        <v>6.6666666666666661</v>
      </c>
      <c r="I11" s="2" t="s">
        <v>182</v>
      </c>
      <c r="J11" s="20" t="str">
        <f t="shared" si="1"/>
        <v>PASS</v>
      </c>
    </row>
    <row r="12" spans="1:10" x14ac:dyDescent="0.3">
      <c r="A12" s="18">
        <v>1</v>
      </c>
      <c r="B12" s="2" t="s">
        <v>183</v>
      </c>
      <c r="C12" s="2" t="s">
        <v>161</v>
      </c>
      <c r="D12" s="2" t="s">
        <v>74</v>
      </c>
      <c r="E12" s="10">
        <v>50</v>
      </c>
      <c r="F12" s="2" t="s">
        <v>171</v>
      </c>
      <c r="G12" s="19">
        <f>INDEX('02_공통파라미터'!$E$7:$E$9,MATCH('02_공통파라미터'!$B$4,'02_공통파라미터'!$A$7:$A$9,0))/6</f>
        <v>0.33333333333333331</v>
      </c>
      <c r="H12" s="14">
        <f t="shared" si="0"/>
        <v>16.666666666666664</v>
      </c>
      <c r="I12" s="2" t="s">
        <v>182</v>
      </c>
      <c r="J12" s="20" t="str">
        <f t="shared" si="1"/>
        <v>PASS</v>
      </c>
    </row>
    <row r="13" spans="1:10" x14ac:dyDescent="0.3">
      <c r="A13" s="18">
        <v>2</v>
      </c>
      <c r="B13" s="2" t="s">
        <v>184</v>
      </c>
      <c r="C13" s="2" t="s">
        <v>170</v>
      </c>
      <c r="D13" s="2" t="s">
        <v>80</v>
      </c>
      <c r="E13" s="10">
        <v>10</v>
      </c>
      <c r="F13" s="2" t="s">
        <v>171</v>
      </c>
      <c r="G13" s="19">
        <f>INDEX('02_공통파라미터'!$E$7:$E$9,MATCH('02_공통파라미터'!$B$4,'02_공통파라미터'!$A$7:$A$9,0))/6</f>
        <v>0.33333333333333331</v>
      </c>
      <c r="H13" s="14">
        <f t="shared" si="0"/>
        <v>3.333333333333333</v>
      </c>
      <c r="I13" s="2" t="s">
        <v>185</v>
      </c>
      <c r="J13" s="20" t="str">
        <f t="shared" si="1"/>
        <v>PASS</v>
      </c>
    </row>
    <row r="14" spans="1:10" x14ac:dyDescent="0.3">
      <c r="A14" s="18">
        <v>2</v>
      </c>
      <c r="B14" s="2" t="s">
        <v>186</v>
      </c>
      <c r="C14" s="2" t="s">
        <v>170</v>
      </c>
      <c r="D14" s="2" t="s">
        <v>74</v>
      </c>
      <c r="E14" s="10">
        <v>30</v>
      </c>
      <c r="F14" s="2" t="s">
        <v>171</v>
      </c>
      <c r="G14" s="19">
        <f>INDEX('02_공통파라미터'!$E$7:$E$9,MATCH('02_공통파라미터'!$B$4,'02_공통파라미터'!$A$7:$A$9,0))/6</f>
        <v>0.33333333333333331</v>
      </c>
      <c r="H14" s="14">
        <f t="shared" si="0"/>
        <v>10</v>
      </c>
      <c r="I14" s="2" t="s">
        <v>185</v>
      </c>
      <c r="J14" s="20" t="str">
        <f t="shared" si="1"/>
        <v>PASS</v>
      </c>
    </row>
    <row r="15" spans="1:10" x14ac:dyDescent="0.3">
      <c r="A15" s="18">
        <v>2</v>
      </c>
      <c r="B15" s="2" t="s">
        <v>187</v>
      </c>
      <c r="C15" s="2" t="s">
        <v>161</v>
      </c>
      <c r="D15" s="2" t="s">
        <v>80</v>
      </c>
      <c r="E15" s="10">
        <v>30</v>
      </c>
      <c r="F15" s="2" t="s">
        <v>171</v>
      </c>
      <c r="G15" s="19">
        <f>INDEX('02_공통파라미터'!$E$7:$E$9,MATCH('02_공통파라미터'!$B$4,'02_공통파라미터'!$A$7:$A$9,0))/6</f>
        <v>0.33333333333333331</v>
      </c>
      <c r="H15" s="14">
        <f t="shared" si="0"/>
        <v>10</v>
      </c>
      <c r="I15" s="2" t="s">
        <v>188</v>
      </c>
      <c r="J15" s="20" t="str">
        <f t="shared" si="1"/>
        <v>PASS</v>
      </c>
    </row>
    <row r="16" spans="1:10" x14ac:dyDescent="0.3">
      <c r="A16" s="18">
        <v>2</v>
      </c>
      <c r="B16" s="2" t="s">
        <v>189</v>
      </c>
      <c r="C16" s="2" t="s">
        <v>161</v>
      </c>
      <c r="D16" s="2" t="s">
        <v>74</v>
      </c>
      <c r="E16" s="10">
        <v>75</v>
      </c>
      <c r="F16" s="2" t="s">
        <v>171</v>
      </c>
      <c r="G16" s="19">
        <f>INDEX('02_공통파라미터'!$E$7:$E$9,MATCH('02_공통파라미터'!$B$4,'02_공통파라미터'!$A$7:$A$9,0))/6</f>
        <v>0.33333333333333331</v>
      </c>
      <c r="H16" s="14">
        <f t="shared" si="0"/>
        <v>25</v>
      </c>
      <c r="I16" s="2" t="s">
        <v>188</v>
      </c>
      <c r="J16" s="20" t="str">
        <f t="shared" si="1"/>
        <v>PASS</v>
      </c>
    </row>
    <row r="18" spans="1:8" x14ac:dyDescent="0.3">
      <c r="A18" s="4" t="s">
        <v>158</v>
      </c>
      <c r="H18" s="21">
        <f>SUM(H5:H16)</f>
        <v>101.66666666666666</v>
      </c>
    </row>
  </sheetData>
  <autoFilter ref="A4:J16" xr:uid="{00000000-0009-0000-0000-000004000000}"/>
  <mergeCells count="2">
    <mergeCell ref="A1:J1"/>
    <mergeCell ref="A2:J2"/>
  </mergeCells>
  <phoneticPr fontId="7" type="noConversion"/>
  <dataValidations count="1">
    <dataValidation type="list" sqref="D5:D16" xr:uid="{00000000-0002-0000-0400-000000000000}">
      <formula1>"Energy,Shard"</formula1>
    </dataValidation>
  </dataValidations>
  <printOptions horizontalCentered="1"/>
  <pageMargins left="0.75" right="0.75" top="1" bottom="1" header="0.5" footer="0.5"/>
  <pageSetup scale="70" fitToHeight="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F75B5"/>
    <pageSetUpPr fitToPage="1"/>
  </sheetPr>
  <dimension ref="A1:J14"/>
  <sheetViews>
    <sheetView showGridLines="0" zoomScale="90" workbookViewId="0">
      <pane ySplit="4" topLeftCell="A5" activePane="bottomLeft" state="frozen"/>
      <selection pane="bottomLeft"/>
    </sheetView>
  </sheetViews>
  <sheetFormatPr defaultRowHeight="16.5" x14ac:dyDescent="0.3"/>
  <cols>
    <col min="1" max="1" width="12" customWidth="1"/>
    <col min="2" max="2" width="20" customWidth="1"/>
    <col min="3" max="3" width="24" customWidth="1"/>
    <col min="4" max="5" width="14" customWidth="1"/>
    <col min="6" max="6" width="12" customWidth="1"/>
    <col min="7" max="8" width="16" customWidth="1"/>
    <col min="9" max="9" width="30" customWidth="1"/>
    <col min="10" max="10" width="12" customWidth="1"/>
  </cols>
  <sheetData>
    <row r="1" spans="1:10" ht="30" customHeight="1" x14ac:dyDescent="0.3">
      <c r="A1" s="29" t="s">
        <v>190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32.1" customHeight="1" x14ac:dyDescent="0.3">
      <c r="A2" s="31" t="s">
        <v>191</v>
      </c>
      <c r="B2" s="28"/>
      <c r="C2" s="28"/>
      <c r="D2" s="28"/>
      <c r="E2" s="28"/>
      <c r="F2" s="28"/>
      <c r="G2" s="28"/>
      <c r="H2" s="28"/>
      <c r="I2" s="28"/>
      <c r="J2" s="28"/>
    </row>
    <row r="4" spans="1:10" ht="27.95" customHeight="1" x14ac:dyDescent="0.3">
      <c r="A4" s="1" t="s">
        <v>192</v>
      </c>
      <c r="B4" s="1" t="s">
        <v>162</v>
      </c>
      <c r="C4" s="1" t="s">
        <v>193</v>
      </c>
      <c r="D4" s="1" t="s">
        <v>49</v>
      </c>
      <c r="E4" s="1" t="s">
        <v>164</v>
      </c>
      <c r="F4" s="1" t="s">
        <v>165</v>
      </c>
      <c r="G4" s="1" t="s">
        <v>194</v>
      </c>
      <c r="H4" s="1" t="s">
        <v>167</v>
      </c>
      <c r="I4" s="1" t="s">
        <v>195</v>
      </c>
      <c r="J4" s="1" t="s">
        <v>6</v>
      </c>
    </row>
    <row r="5" spans="1:10" x14ac:dyDescent="0.3">
      <c r="A5" s="2" t="s">
        <v>196</v>
      </c>
      <c r="B5" s="2" t="s">
        <v>197</v>
      </c>
      <c r="C5" s="2" t="s">
        <v>198</v>
      </c>
      <c r="D5" s="2" t="s">
        <v>80</v>
      </c>
      <c r="E5" s="10">
        <v>10</v>
      </c>
      <c r="F5" s="2" t="s">
        <v>171</v>
      </c>
      <c r="G5" s="22">
        <f>INDEX('02_공통파라미터'!$F$7:$F$9,MATCH('02_공통파라미터'!$B$4,'02_공통파라미터'!$A$7:$A$9,0))*0.7/COUNTIF($A$5:$A$12,A5)</f>
        <v>0.105</v>
      </c>
      <c r="H5" s="14">
        <f t="shared" ref="H5:H12" si="0">E5*G5</f>
        <v>1.05</v>
      </c>
      <c r="I5" s="2" t="s">
        <v>199</v>
      </c>
      <c r="J5" s="20" t="str">
        <f t="shared" ref="J5:J12" si="1">IF(OR(D5="Energy",D5="Shard"),"PASS","FAIL")</f>
        <v>PASS</v>
      </c>
    </row>
    <row r="6" spans="1:10" x14ac:dyDescent="0.3">
      <c r="A6" s="2" t="s">
        <v>196</v>
      </c>
      <c r="B6" s="2" t="s">
        <v>200</v>
      </c>
      <c r="C6" s="2" t="s">
        <v>201</v>
      </c>
      <c r="D6" s="2" t="s">
        <v>74</v>
      </c>
      <c r="E6" s="10">
        <v>25</v>
      </c>
      <c r="F6" s="2" t="s">
        <v>171</v>
      </c>
      <c r="G6" s="22">
        <f>INDEX('02_공통파라미터'!$F$7:$F$9,MATCH('02_공통파라미터'!$B$4,'02_공통파라미터'!$A$7:$A$9,0))*0.7/COUNTIF($A$5:$A$12,A6)</f>
        <v>0.105</v>
      </c>
      <c r="H6" s="14">
        <f t="shared" si="0"/>
        <v>2.625</v>
      </c>
      <c r="I6" s="2" t="s">
        <v>202</v>
      </c>
      <c r="J6" s="20" t="str">
        <f t="shared" si="1"/>
        <v>PASS</v>
      </c>
    </row>
    <row r="7" spans="1:10" x14ac:dyDescent="0.3">
      <c r="A7" s="2" t="s">
        <v>196</v>
      </c>
      <c r="B7" s="2" t="s">
        <v>203</v>
      </c>
      <c r="C7" s="2" t="s">
        <v>204</v>
      </c>
      <c r="D7" s="2" t="s">
        <v>80</v>
      </c>
      <c r="E7" s="10">
        <v>15</v>
      </c>
      <c r="F7" s="2" t="s">
        <v>171</v>
      </c>
      <c r="G7" s="22">
        <f>INDEX('02_공통파라미터'!$F$7:$F$9,MATCH('02_공통파라미터'!$B$4,'02_공통파라미터'!$A$7:$A$9,0))*0.7/COUNTIF($A$5:$A$12,A7)</f>
        <v>0.105</v>
      </c>
      <c r="H7" s="14">
        <f t="shared" si="0"/>
        <v>1.575</v>
      </c>
      <c r="I7" s="2" t="s">
        <v>205</v>
      </c>
      <c r="J7" s="20" t="str">
        <f t="shared" si="1"/>
        <v>PASS</v>
      </c>
    </row>
    <row r="8" spans="1:10" x14ac:dyDescent="0.3">
      <c r="A8" s="2" t="s">
        <v>196</v>
      </c>
      <c r="B8" s="2" t="s">
        <v>206</v>
      </c>
      <c r="C8" s="2" t="s">
        <v>207</v>
      </c>
      <c r="D8" s="2" t="s">
        <v>74</v>
      </c>
      <c r="E8" s="10">
        <v>35</v>
      </c>
      <c r="F8" s="2" t="s">
        <v>171</v>
      </c>
      <c r="G8" s="22">
        <f>INDEX('02_공통파라미터'!$F$7:$F$9,MATCH('02_공통파라미터'!$B$4,'02_공통파라미터'!$A$7:$A$9,0))*0.7/COUNTIF($A$5:$A$12,A8)</f>
        <v>0.105</v>
      </c>
      <c r="H8" s="14">
        <f t="shared" si="0"/>
        <v>3.6749999999999998</v>
      </c>
      <c r="I8" s="2" t="s">
        <v>202</v>
      </c>
      <c r="J8" s="20" t="str">
        <f t="shared" si="1"/>
        <v>PASS</v>
      </c>
    </row>
    <row r="9" spans="1:10" x14ac:dyDescent="0.3">
      <c r="A9" s="2" t="s">
        <v>208</v>
      </c>
      <c r="B9" s="2" t="s">
        <v>209</v>
      </c>
      <c r="C9" s="2" t="s">
        <v>210</v>
      </c>
      <c r="D9" s="2" t="s">
        <v>80</v>
      </c>
      <c r="E9" s="10">
        <v>30</v>
      </c>
      <c r="F9" s="2" t="s">
        <v>171</v>
      </c>
      <c r="G9" s="22">
        <f>INDEX('02_공통파라미터'!$F$7:$F$9,MATCH('02_공통파라미터'!$B$4,'02_공통파라미터'!$A$7:$A$9,0))*0.25/COUNTIF($A$5:$A$12,A9)</f>
        <v>7.4999999999999997E-2</v>
      </c>
      <c r="H9" s="14">
        <f t="shared" si="0"/>
        <v>2.25</v>
      </c>
      <c r="I9" s="2" t="s">
        <v>211</v>
      </c>
      <c r="J9" s="20" t="str">
        <f t="shared" si="1"/>
        <v>PASS</v>
      </c>
    </row>
    <row r="10" spans="1:10" x14ac:dyDescent="0.3">
      <c r="A10" s="2" t="s">
        <v>208</v>
      </c>
      <c r="B10" s="2" t="s">
        <v>212</v>
      </c>
      <c r="C10" s="2" t="s">
        <v>210</v>
      </c>
      <c r="D10" s="2" t="s">
        <v>74</v>
      </c>
      <c r="E10" s="10">
        <v>75</v>
      </c>
      <c r="F10" s="2" t="s">
        <v>171</v>
      </c>
      <c r="G10" s="22">
        <f>INDEX('02_공통파라미터'!$F$7:$F$9,MATCH('02_공통파라미터'!$B$4,'02_공통파라미터'!$A$7:$A$9,0))*0.25/COUNTIF($A$5:$A$12,A10)</f>
        <v>7.4999999999999997E-2</v>
      </c>
      <c r="H10" s="14">
        <f t="shared" si="0"/>
        <v>5.625</v>
      </c>
      <c r="I10" s="2" t="s">
        <v>211</v>
      </c>
      <c r="J10" s="20" t="str">
        <f t="shared" si="1"/>
        <v>PASS</v>
      </c>
    </row>
    <row r="11" spans="1:10" x14ac:dyDescent="0.3">
      <c r="A11" s="2" t="s">
        <v>91</v>
      </c>
      <c r="B11" s="2" t="s">
        <v>213</v>
      </c>
      <c r="C11" s="2" t="s">
        <v>214</v>
      </c>
      <c r="D11" s="2" t="s">
        <v>80</v>
      </c>
      <c r="E11" s="10">
        <v>100</v>
      </c>
      <c r="F11" s="2" t="s">
        <v>171</v>
      </c>
      <c r="G11" s="22">
        <f>INDEX('02_공통파라미터'!$F$7:$F$9,MATCH('02_공통파라미터'!$B$4,'02_공통파라미터'!$A$7:$A$9,0))*0.05/COUNTIF($A$5:$A$12,A11)</f>
        <v>1.4999999999999999E-2</v>
      </c>
      <c r="H11" s="14">
        <f t="shared" si="0"/>
        <v>1.5</v>
      </c>
      <c r="I11" s="2" t="s">
        <v>215</v>
      </c>
      <c r="J11" s="20" t="str">
        <f t="shared" si="1"/>
        <v>PASS</v>
      </c>
    </row>
    <row r="12" spans="1:10" x14ac:dyDescent="0.3">
      <c r="A12" s="2" t="s">
        <v>91</v>
      </c>
      <c r="B12" s="2" t="s">
        <v>216</v>
      </c>
      <c r="C12" s="2" t="s">
        <v>214</v>
      </c>
      <c r="D12" s="2" t="s">
        <v>74</v>
      </c>
      <c r="E12" s="10">
        <v>250</v>
      </c>
      <c r="F12" s="2" t="s">
        <v>171</v>
      </c>
      <c r="G12" s="22">
        <f>INDEX('02_공통파라미터'!$F$7:$F$9,MATCH('02_공통파라미터'!$B$4,'02_공통파라미터'!$A$7:$A$9,0))*0.05/COUNTIF($A$5:$A$12,A12)</f>
        <v>1.4999999999999999E-2</v>
      </c>
      <c r="H12" s="14">
        <f t="shared" si="0"/>
        <v>3.75</v>
      </c>
      <c r="I12" s="2" t="s">
        <v>215</v>
      </c>
      <c r="J12" s="20" t="str">
        <f t="shared" si="1"/>
        <v>PASS</v>
      </c>
    </row>
    <row r="14" spans="1:10" x14ac:dyDescent="0.3">
      <c r="A14" s="4" t="s">
        <v>158</v>
      </c>
      <c r="H14" s="21">
        <f>SUM(H5:H12)</f>
        <v>22.05</v>
      </c>
    </row>
  </sheetData>
  <autoFilter ref="A4:J12" xr:uid="{00000000-0009-0000-0000-000005000000}"/>
  <mergeCells count="2">
    <mergeCell ref="A1:J1"/>
    <mergeCell ref="A2:J2"/>
  </mergeCells>
  <phoneticPr fontId="7" type="noConversion"/>
  <dataValidations count="1">
    <dataValidation type="list" sqref="D5:D12" xr:uid="{00000000-0002-0000-0500-000000000000}">
      <formula1>"Energy,Shard"</formula1>
    </dataValidation>
  </dataValidations>
  <printOptions horizontalCentered="1"/>
  <pageMargins left="0.75" right="0.75" top="1" bottom="1" header="0.5" footer="0.5"/>
  <pageSetup scale="6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F75B5"/>
    <pageSetUpPr fitToPage="1"/>
  </sheetPr>
  <dimension ref="A1:N13"/>
  <sheetViews>
    <sheetView showGridLines="0" zoomScale="90" workbookViewId="0">
      <pane ySplit="4" topLeftCell="A5" activePane="bottomLeft" state="frozen"/>
      <selection pane="bottomLeft"/>
    </sheetView>
  </sheetViews>
  <sheetFormatPr defaultRowHeight="16.5" x14ac:dyDescent="0.3"/>
  <cols>
    <col min="1" max="1" width="22" customWidth="1"/>
    <col min="2" max="2" width="18" customWidth="1"/>
    <col min="3" max="3" width="12" customWidth="1"/>
    <col min="4" max="4" width="14" customWidth="1"/>
    <col min="5" max="5" width="12" customWidth="1"/>
    <col min="6" max="6" width="14" customWidth="1"/>
    <col min="7" max="7" width="12" customWidth="1"/>
    <col min="8" max="8" width="10" customWidth="1"/>
    <col min="9" max="9" width="16" customWidth="1"/>
    <col min="10" max="11" width="14" customWidth="1"/>
    <col min="12" max="13" width="16" customWidth="1"/>
    <col min="14" max="14" width="12" customWidth="1"/>
  </cols>
  <sheetData>
    <row r="1" spans="1:14" ht="30" customHeight="1" x14ac:dyDescent="0.3">
      <c r="A1" s="29" t="s">
        <v>217</v>
      </c>
      <c r="B1" s="28"/>
      <c r="C1" s="28"/>
      <c r="D1" s="28"/>
      <c r="E1" s="28"/>
      <c r="F1" s="28"/>
      <c r="G1" s="28"/>
      <c r="H1" s="28"/>
      <c r="I1" s="28"/>
      <c r="J1" s="28"/>
    </row>
    <row r="2" spans="1:14" ht="32.1" customHeight="1" x14ac:dyDescent="0.3">
      <c r="A2" s="31" t="s">
        <v>218</v>
      </c>
      <c r="B2" s="28"/>
      <c r="C2" s="28"/>
      <c r="D2" s="28"/>
      <c r="E2" s="28"/>
      <c r="F2" s="28"/>
      <c r="G2" s="28"/>
      <c r="H2" s="28"/>
      <c r="I2" s="28"/>
      <c r="J2" s="28"/>
    </row>
    <row r="4" spans="1:14" ht="27.95" customHeight="1" x14ac:dyDescent="0.3">
      <c r="A4" s="1" t="s">
        <v>219</v>
      </c>
      <c r="B4" s="1" t="s">
        <v>220</v>
      </c>
      <c r="C4" s="1" t="s">
        <v>221</v>
      </c>
      <c r="D4" s="1" t="s">
        <v>222</v>
      </c>
      <c r="E4" s="1" t="s">
        <v>223</v>
      </c>
      <c r="F4" s="1" t="s">
        <v>224</v>
      </c>
      <c r="G4" s="1" t="s">
        <v>225</v>
      </c>
      <c r="H4" s="1" t="s">
        <v>226</v>
      </c>
      <c r="I4" s="1" t="s">
        <v>227</v>
      </c>
      <c r="J4" s="1" t="s">
        <v>228</v>
      </c>
      <c r="K4" s="1" t="s">
        <v>229</v>
      </c>
      <c r="L4" s="1" t="s">
        <v>230</v>
      </c>
      <c r="M4" s="1" t="s">
        <v>231</v>
      </c>
      <c r="N4" s="1" t="s">
        <v>6</v>
      </c>
    </row>
    <row r="5" spans="1:14" x14ac:dyDescent="0.3">
      <c r="A5" s="2" t="s">
        <v>232</v>
      </c>
      <c r="B5" s="2" t="s">
        <v>233</v>
      </c>
      <c r="C5" s="2" t="s">
        <v>234</v>
      </c>
      <c r="D5" s="2" t="s">
        <v>56</v>
      </c>
      <c r="E5" s="18">
        <v>110</v>
      </c>
      <c r="F5" s="23" t="s">
        <v>56</v>
      </c>
      <c r="G5" s="23">
        <f>'02_공통파라미터'!$B$20</f>
        <v>250</v>
      </c>
      <c r="H5" s="18">
        <v>6</v>
      </c>
      <c r="I5" s="18">
        <v>0</v>
      </c>
      <c r="J5" s="24">
        <f>'02_공통파라미터'!$B$23</f>
        <v>0.45</v>
      </c>
      <c r="K5" s="2">
        <f>'02_공통파라미터'!$B$24</f>
        <v>1</v>
      </c>
      <c r="L5" s="19">
        <f t="shared" ref="L5:L13" si="0">H5*J5*K5</f>
        <v>2.7</v>
      </c>
      <c r="M5" s="19">
        <f t="shared" ref="M5:M13" si="1">H5*(1-J5)</f>
        <v>3.3000000000000003</v>
      </c>
      <c r="N5" s="20" t="str">
        <f t="shared" ref="N5:N13" si="2">IF(OR(F5="Gold",F5="Diamond"),"PASS","FAIL")</f>
        <v>PASS</v>
      </c>
    </row>
    <row r="6" spans="1:14" x14ac:dyDescent="0.3">
      <c r="A6" s="2" t="s">
        <v>235</v>
      </c>
      <c r="B6" s="2" t="s">
        <v>236</v>
      </c>
      <c r="C6" s="2" t="s">
        <v>234</v>
      </c>
      <c r="D6" s="2" t="s">
        <v>56</v>
      </c>
      <c r="E6" s="18">
        <v>140</v>
      </c>
      <c r="F6" s="23" t="s">
        <v>56</v>
      </c>
      <c r="G6" s="23">
        <f>'02_공통파라미터'!$B$21</f>
        <v>400</v>
      </c>
      <c r="H6" s="18">
        <v>6</v>
      </c>
      <c r="I6" s="18">
        <v>0</v>
      </c>
      <c r="J6" s="24">
        <f>'02_공통파라미터'!$B$23</f>
        <v>0.45</v>
      </c>
      <c r="K6" s="2">
        <f>'02_공통파라미터'!$B$24</f>
        <v>1</v>
      </c>
      <c r="L6" s="19">
        <f t="shared" si="0"/>
        <v>2.7</v>
      </c>
      <c r="M6" s="19">
        <f t="shared" si="1"/>
        <v>3.3000000000000003</v>
      </c>
      <c r="N6" s="20" t="str">
        <f t="shared" si="2"/>
        <v>PASS</v>
      </c>
    </row>
    <row r="7" spans="1:14" x14ac:dyDescent="0.3">
      <c r="A7" s="2" t="s">
        <v>237</v>
      </c>
      <c r="B7" s="2" t="s">
        <v>238</v>
      </c>
      <c r="C7" s="2" t="s">
        <v>234</v>
      </c>
      <c r="D7" s="2" t="s">
        <v>134</v>
      </c>
      <c r="E7" s="18">
        <v>30</v>
      </c>
      <c r="F7" s="23" t="s">
        <v>134</v>
      </c>
      <c r="G7" s="23">
        <f>'02_공통파라미터'!$B$22</f>
        <v>30</v>
      </c>
      <c r="H7" s="18">
        <v>6</v>
      </c>
      <c r="I7" s="18">
        <v>0</v>
      </c>
      <c r="J7" s="24">
        <f>'02_공통파라미터'!$B$23</f>
        <v>0.45</v>
      </c>
      <c r="K7" s="2">
        <f>'02_공통파라미터'!$B$24</f>
        <v>1</v>
      </c>
      <c r="L7" s="19">
        <f t="shared" si="0"/>
        <v>2.7</v>
      </c>
      <c r="M7" s="19">
        <f t="shared" si="1"/>
        <v>3.3000000000000003</v>
      </c>
      <c r="N7" s="20" t="str">
        <f t="shared" si="2"/>
        <v>PASS</v>
      </c>
    </row>
    <row r="8" spans="1:14" x14ac:dyDescent="0.3">
      <c r="A8" s="2" t="s">
        <v>239</v>
      </c>
      <c r="B8" s="2" t="s">
        <v>240</v>
      </c>
      <c r="C8" s="2" t="s">
        <v>234</v>
      </c>
      <c r="D8" s="2" t="s">
        <v>134</v>
      </c>
      <c r="E8" s="18">
        <v>30</v>
      </c>
      <c r="F8" s="23" t="s">
        <v>134</v>
      </c>
      <c r="G8" s="23">
        <f>'02_공통파라미터'!$B$22</f>
        <v>30</v>
      </c>
      <c r="H8" s="18">
        <v>6</v>
      </c>
      <c r="I8" s="18">
        <v>0</v>
      </c>
      <c r="J8" s="24">
        <f>'02_공통파라미터'!$B$23</f>
        <v>0.45</v>
      </c>
      <c r="K8" s="2">
        <f>'02_공통파라미터'!$B$24</f>
        <v>1</v>
      </c>
      <c r="L8" s="19">
        <f t="shared" si="0"/>
        <v>2.7</v>
      </c>
      <c r="M8" s="19">
        <f t="shared" si="1"/>
        <v>3.3000000000000003</v>
      </c>
      <c r="N8" s="20" t="str">
        <f t="shared" si="2"/>
        <v>PASS</v>
      </c>
    </row>
    <row r="9" spans="1:14" x14ac:dyDescent="0.3">
      <c r="A9" s="2" t="s">
        <v>241</v>
      </c>
      <c r="B9" s="2" t="s">
        <v>242</v>
      </c>
      <c r="C9" s="2" t="s">
        <v>234</v>
      </c>
      <c r="D9" s="2" t="s">
        <v>134</v>
      </c>
      <c r="E9" s="18">
        <v>30</v>
      </c>
      <c r="F9" s="23" t="s">
        <v>134</v>
      </c>
      <c r="G9" s="23">
        <f>'02_공통파라미터'!$B$22</f>
        <v>30</v>
      </c>
      <c r="H9" s="18">
        <v>6</v>
      </c>
      <c r="I9" s="18">
        <v>0</v>
      </c>
      <c r="J9" s="24">
        <f>'02_공통파라미터'!$B$23</f>
        <v>0.45</v>
      </c>
      <c r="K9" s="2">
        <f>'02_공통파라미터'!$B$24</f>
        <v>1</v>
      </c>
      <c r="L9" s="19">
        <f t="shared" si="0"/>
        <v>2.7</v>
      </c>
      <c r="M9" s="19">
        <f t="shared" si="1"/>
        <v>3.3000000000000003</v>
      </c>
      <c r="N9" s="20" t="str">
        <f t="shared" si="2"/>
        <v>PASS</v>
      </c>
    </row>
    <row r="10" spans="1:14" x14ac:dyDescent="0.3">
      <c r="A10" s="2" t="s">
        <v>243</v>
      </c>
      <c r="B10" s="2" t="s">
        <v>244</v>
      </c>
      <c r="C10" s="2" t="s">
        <v>234</v>
      </c>
      <c r="D10" s="2" t="s">
        <v>134</v>
      </c>
      <c r="E10" s="18">
        <v>30</v>
      </c>
      <c r="F10" s="23" t="s">
        <v>134</v>
      </c>
      <c r="G10" s="23">
        <f>'02_공통파라미터'!$B$22</f>
        <v>30</v>
      </c>
      <c r="H10" s="18">
        <v>6</v>
      </c>
      <c r="I10" s="18">
        <v>0</v>
      </c>
      <c r="J10" s="24">
        <f>'02_공통파라미터'!$B$23</f>
        <v>0.45</v>
      </c>
      <c r="K10" s="2">
        <f>'02_공통파라미터'!$B$24</f>
        <v>1</v>
      </c>
      <c r="L10" s="19">
        <f t="shared" si="0"/>
        <v>2.7</v>
      </c>
      <c r="M10" s="19">
        <f t="shared" si="1"/>
        <v>3.3000000000000003</v>
      </c>
      <c r="N10" s="20" t="str">
        <f t="shared" si="2"/>
        <v>PASS</v>
      </c>
    </row>
    <row r="11" spans="1:14" x14ac:dyDescent="0.3">
      <c r="A11" s="2" t="s">
        <v>245</v>
      </c>
      <c r="B11" s="2" t="s">
        <v>246</v>
      </c>
      <c r="C11" s="2" t="s">
        <v>234</v>
      </c>
      <c r="D11" s="2" t="s">
        <v>134</v>
      </c>
      <c r="E11" s="18">
        <v>30</v>
      </c>
      <c r="F11" s="23" t="s">
        <v>134</v>
      </c>
      <c r="G11" s="23">
        <f>'02_공통파라미터'!$B$22</f>
        <v>30</v>
      </c>
      <c r="H11" s="18">
        <v>6</v>
      </c>
      <c r="I11" s="18">
        <v>0</v>
      </c>
      <c r="J11" s="24">
        <f>'02_공통파라미터'!$B$23</f>
        <v>0.45</v>
      </c>
      <c r="K11" s="2">
        <f>'02_공통파라미터'!$B$24</f>
        <v>1</v>
      </c>
      <c r="L11" s="19">
        <f t="shared" si="0"/>
        <v>2.7</v>
      </c>
      <c r="M11" s="19">
        <f t="shared" si="1"/>
        <v>3.3000000000000003</v>
      </c>
      <c r="N11" s="20" t="str">
        <f t="shared" si="2"/>
        <v>PASS</v>
      </c>
    </row>
    <row r="12" spans="1:14" x14ac:dyDescent="0.3">
      <c r="A12" s="2" t="s">
        <v>247</v>
      </c>
      <c r="B12" s="2" t="s">
        <v>248</v>
      </c>
      <c r="C12" s="2" t="s">
        <v>234</v>
      </c>
      <c r="D12" s="2" t="s">
        <v>134</v>
      </c>
      <c r="E12" s="18">
        <v>30</v>
      </c>
      <c r="F12" s="23" t="s">
        <v>134</v>
      </c>
      <c r="G12" s="23">
        <f>'02_공통파라미터'!$B$22</f>
        <v>30</v>
      </c>
      <c r="H12" s="18">
        <v>6</v>
      </c>
      <c r="I12" s="18">
        <v>1</v>
      </c>
      <c r="J12" s="24">
        <f>'02_공통파라미터'!$B$23</f>
        <v>0.45</v>
      </c>
      <c r="K12" s="2">
        <f>'02_공통파라미터'!$B$24</f>
        <v>1</v>
      </c>
      <c r="L12" s="19">
        <f t="shared" si="0"/>
        <v>2.7</v>
      </c>
      <c r="M12" s="19">
        <f t="shared" si="1"/>
        <v>3.3000000000000003</v>
      </c>
      <c r="N12" s="20" t="str">
        <f t="shared" si="2"/>
        <v>PASS</v>
      </c>
    </row>
    <row r="13" spans="1:14" x14ac:dyDescent="0.3">
      <c r="A13" s="2" t="s">
        <v>249</v>
      </c>
      <c r="B13" s="2" t="s">
        <v>250</v>
      </c>
      <c r="C13" s="2" t="s">
        <v>251</v>
      </c>
      <c r="D13" s="2" t="s">
        <v>56</v>
      </c>
      <c r="E13" s="18">
        <v>0</v>
      </c>
      <c r="F13" s="23" t="s">
        <v>56</v>
      </c>
      <c r="G13" s="10">
        <v>0</v>
      </c>
      <c r="H13" s="18">
        <v>6</v>
      </c>
      <c r="I13" s="18">
        <v>1</v>
      </c>
      <c r="J13" s="24">
        <f>'02_공통파라미터'!$B$23</f>
        <v>0.45</v>
      </c>
      <c r="K13" s="2">
        <f>'02_공통파라미터'!$B$24</f>
        <v>1</v>
      </c>
      <c r="L13" s="19">
        <f t="shared" si="0"/>
        <v>2.7</v>
      </c>
      <c r="M13" s="19">
        <f t="shared" si="1"/>
        <v>3.3000000000000003</v>
      </c>
      <c r="N13" s="20" t="str">
        <f t="shared" si="2"/>
        <v>PASS</v>
      </c>
    </row>
  </sheetData>
  <autoFilter ref="A4:N13" xr:uid="{00000000-0009-0000-0000-000006000000}"/>
  <mergeCells count="2">
    <mergeCell ref="A1:J1"/>
    <mergeCell ref="A2:J2"/>
  </mergeCells>
  <phoneticPr fontId="7" type="noConversion"/>
  <dataValidations count="1">
    <dataValidation type="list" sqref="F5:F13" xr:uid="{00000000-0002-0000-0600-000000000000}">
      <formula1>"Gold,Diamond"</formula1>
    </dataValidation>
  </dataValidations>
  <printOptions horizontalCentered="1"/>
  <pageMargins left="0.75" right="0.75" top="1" bottom="1" header="0.5" footer="0.5"/>
  <pageSetup scale="55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F75B5"/>
    <pageSetUpPr fitToPage="1"/>
  </sheetPr>
  <dimension ref="A1:J10"/>
  <sheetViews>
    <sheetView showGridLines="0" zoomScale="90" workbookViewId="0">
      <pane ySplit="4" topLeftCell="A5" activePane="bottomLeft" state="frozen"/>
      <selection pane="bottomLeft"/>
    </sheetView>
  </sheetViews>
  <sheetFormatPr defaultRowHeight="16.5" x14ac:dyDescent="0.3"/>
  <cols>
    <col min="1" max="2" width="14" customWidth="1"/>
    <col min="3" max="3" width="16" customWidth="1"/>
    <col min="4" max="5" width="14" customWidth="1"/>
    <col min="6" max="6" width="12" customWidth="1"/>
    <col min="7" max="7" width="16" customWidth="1"/>
    <col min="8" max="8" width="20" customWidth="1"/>
    <col min="9" max="9" width="30" customWidth="1"/>
    <col min="10" max="10" width="12" customWidth="1"/>
  </cols>
  <sheetData>
    <row r="1" spans="1:10" ht="30" customHeight="1" x14ac:dyDescent="0.3">
      <c r="A1" s="29" t="s">
        <v>252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32.1" customHeight="1" x14ac:dyDescent="0.3">
      <c r="A2" s="31" t="s">
        <v>253</v>
      </c>
      <c r="B2" s="28"/>
      <c r="C2" s="28"/>
      <c r="D2" s="28"/>
      <c r="E2" s="28"/>
      <c r="F2" s="28"/>
      <c r="G2" s="28"/>
      <c r="H2" s="28"/>
      <c r="I2" s="28"/>
      <c r="J2" s="28"/>
    </row>
    <row r="4" spans="1:10" ht="27.95" customHeight="1" x14ac:dyDescent="0.3">
      <c r="A4" s="1" t="s">
        <v>254</v>
      </c>
      <c r="B4" s="1" t="s">
        <v>255</v>
      </c>
      <c r="C4" s="1" t="s">
        <v>49</v>
      </c>
      <c r="D4" s="1" t="s">
        <v>256</v>
      </c>
      <c r="E4" s="1" t="s">
        <v>257</v>
      </c>
      <c r="F4" s="1" t="s">
        <v>258</v>
      </c>
      <c r="G4" s="1" t="s">
        <v>259</v>
      </c>
      <c r="H4" s="1" t="s">
        <v>260</v>
      </c>
      <c r="I4" s="1" t="s">
        <v>261</v>
      </c>
      <c r="J4" s="1" t="s">
        <v>6</v>
      </c>
    </row>
    <row r="5" spans="1:10" x14ac:dyDescent="0.3">
      <c r="A5" s="2" t="s">
        <v>262</v>
      </c>
      <c r="B5" s="2" t="s">
        <v>263</v>
      </c>
      <c r="C5" s="2" t="s">
        <v>74</v>
      </c>
      <c r="D5" s="18">
        <v>25</v>
      </c>
      <c r="E5" s="10">
        <v>25</v>
      </c>
      <c r="F5" s="11">
        <v>1</v>
      </c>
      <c r="G5" s="14">
        <f t="shared" ref="G5:G10" si="0">IF(F5&gt;0,E5/F5,0)</f>
        <v>25</v>
      </c>
      <c r="H5" s="14">
        <f>SUMIFS($G$5:G5,$C$5:C5,C5)</f>
        <v>25</v>
      </c>
      <c r="I5" s="2" t="s">
        <v>264</v>
      </c>
      <c r="J5" s="20" t="str">
        <f t="shared" ref="J5:J10" si="1">IF(OR(AND(A5="강화",C5="Shard"),AND(A5="한계돌파",C5="CardFood")),"PASS","FAIL")</f>
        <v>PASS</v>
      </c>
    </row>
    <row r="6" spans="1:10" x14ac:dyDescent="0.3">
      <c r="A6" s="2" t="s">
        <v>262</v>
      </c>
      <c r="B6" s="2" t="s">
        <v>265</v>
      </c>
      <c r="C6" s="2" t="s">
        <v>74</v>
      </c>
      <c r="D6" s="18">
        <v>75</v>
      </c>
      <c r="E6" s="10">
        <v>75</v>
      </c>
      <c r="F6" s="11">
        <v>1</v>
      </c>
      <c r="G6" s="14">
        <f t="shared" si="0"/>
        <v>75</v>
      </c>
      <c r="H6" s="14">
        <f>SUMIFS($G$5:G6,$C$5:C6,C6)</f>
        <v>100</v>
      </c>
      <c r="I6" s="2" t="s">
        <v>266</v>
      </c>
      <c r="J6" s="20" t="str">
        <f t="shared" si="1"/>
        <v>PASS</v>
      </c>
    </row>
    <row r="7" spans="1:10" x14ac:dyDescent="0.3">
      <c r="A7" s="2" t="s">
        <v>262</v>
      </c>
      <c r="B7" s="2" t="s">
        <v>267</v>
      </c>
      <c r="C7" s="2" t="s">
        <v>74</v>
      </c>
      <c r="D7" s="18">
        <v>150</v>
      </c>
      <c r="E7" s="10">
        <v>150</v>
      </c>
      <c r="F7" s="11">
        <v>1</v>
      </c>
      <c r="G7" s="14">
        <f t="shared" si="0"/>
        <v>150</v>
      </c>
      <c r="H7" s="14">
        <f>SUMIFS($G$5:G7,$C$5:C7,C7)</f>
        <v>250</v>
      </c>
      <c r="I7" s="2" t="s">
        <v>268</v>
      </c>
      <c r="J7" s="20" t="str">
        <f t="shared" si="1"/>
        <v>PASS</v>
      </c>
    </row>
    <row r="8" spans="1:10" x14ac:dyDescent="0.3">
      <c r="A8" s="2" t="s">
        <v>15</v>
      </c>
      <c r="B8" s="2" t="s">
        <v>269</v>
      </c>
      <c r="C8" s="2" t="s">
        <v>69</v>
      </c>
      <c r="D8" s="18">
        <v>1</v>
      </c>
      <c r="E8" s="10">
        <v>1</v>
      </c>
      <c r="F8" s="11">
        <v>1</v>
      </c>
      <c r="G8" s="14">
        <f t="shared" si="0"/>
        <v>1</v>
      </c>
      <c r="H8" s="14">
        <f>SUMIFS($G$5:G8,$C$5:C8,C8)</f>
        <v>1</v>
      </c>
      <c r="I8" s="2" t="s">
        <v>270</v>
      </c>
      <c r="J8" s="20" t="str">
        <f t="shared" si="1"/>
        <v>PASS</v>
      </c>
    </row>
    <row r="9" spans="1:10" x14ac:dyDescent="0.3">
      <c r="A9" s="2" t="s">
        <v>15</v>
      </c>
      <c r="B9" s="2" t="s">
        <v>271</v>
      </c>
      <c r="C9" s="2" t="s">
        <v>69</v>
      </c>
      <c r="D9" s="18">
        <v>2</v>
      </c>
      <c r="E9" s="10">
        <v>2</v>
      </c>
      <c r="F9" s="11">
        <v>1</v>
      </c>
      <c r="G9" s="14">
        <f t="shared" si="0"/>
        <v>2</v>
      </c>
      <c r="H9" s="14">
        <f>SUMIFS($G$5:G9,$C$5:C9,C9)</f>
        <v>3</v>
      </c>
      <c r="I9" s="2" t="s">
        <v>270</v>
      </c>
      <c r="J9" s="20" t="str">
        <f t="shared" si="1"/>
        <v>PASS</v>
      </c>
    </row>
    <row r="10" spans="1:10" x14ac:dyDescent="0.3">
      <c r="A10" s="2" t="s">
        <v>15</v>
      </c>
      <c r="B10" s="2" t="s">
        <v>272</v>
      </c>
      <c r="C10" s="2" t="s">
        <v>69</v>
      </c>
      <c r="D10" s="18">
        <v>3</v>
      </c>
      <c r="E10" s="10">
        <v>3</v>
      </c>
      <c r="F10" s="11">
        <v>1</v>
      </c>
      <c r="G10" s="14">
        <f t="shared" si="0"/>
        <v>3</v>
      </c>
      <c r="H10" s="14">
        <f>SUMIFS($G$5:G10,$C$5:C10,C10)</f>
        <v>6</v>
      </c>
      <c r="I10" s="2" t="s">
        <v>270</v>
      </c>
      <c r="J10" s="20" t="str">
        <f t="shared" si="1"/>
        <v>PASS</v>
      </c>
    </row>
  </sheetData>
  <autoFilter ref="A4:J10" xr:uid="{00000000-0009-0000-0000-000007000000}"/>
  <mergeCells count="2">
    <mergeCell ref="A1:J1"/>
    <mergeCell ref="A2:J2"/>
  </mergeCells>
  <phoneticPr fontId="7" type="noConversion"/>
  <printOptions horizontalCentered="1"/>
  <pageMargins left="0.75" right="0.75" top="1" bottom="1" header="0.5" footer="0.5"/>
  <pageSetup scale="68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F75B5"/>
    <pageSetUpPr fitToPage="1"/>
  </sheetPr>
  <dimension ref="A1:J14"/>
  <sheetViews>
    <sheetView showGridLines="0" zoomScale="90" workbookViewId="0">
      <pane ySplit="4" topLeftCell="A5" activePane="bottomLeft" state="frozen"/>
      <selection pane="bottomLeft"/>
    </sheetView>
  </sheetViews>
  <sheetFormatPr defaultRowHeight="16.5" x14ac:dyDescent="0.3"/>
  <cols>
    <col min="1" max="1" width="18" customWidth="1"/>
    <col min="2" max="3" width="12" customWidth="1"/>
    <col min="4" max="4" width="14" customWidth="1"/>
    <col min="5" max="5" width="16" customWidth="1"/>
    <col min="6" max="6" width="14" customWidth="1"/>
    <col min="7" max="7" width="12" customWidth="1"/>
    <col min="8" max="8" width="16" customWidth="1"/>
    <col min="9" max="9" width="12" customWidth="1"/>
  </cols>
  <sheetData>
    <row r="1" spans="1:10" ht="30" customHeight="1" x14ac:dyDescent="0.3">
      <c r="A1" s="29" t="s">
        <v>273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32.1" customHeight="1" x14ac:dyDescent="0.3">
      <c r="A2" s="31" t="s">
        <v>274</v>
      </c>
      <c r="B2" s="28"/>
      <c r="C2" s="28"/>
      <c r="D2" s="28"/>
      <c r="E2" s="28"/>
      <c r="F2" s="28"/>
      <c r="G2" s="28"/>
      <c r="H2" s="28"/>
      <c r="I2" s="28"/>
      <c r="J2" s="28"/>
    </row>
    <row r="4" spans="1:10" ht="27.95" customHeight="1" x14ac:dyDescent="0.3">
      <c r="A4" s="1" t="s">
        <v>275</v>
      </c>
      <c r="B4" s="1" t="s">
        <v>276</v>
      </c>
      <c r="C4" s="1" t="s">
        <v>277</v>
      </c>
      <c r="D4" s="1" t="s">
        <v>49</v>
      </c>
      <c r="E4" s="1" t="s">
        <v>278</v>
      </c>
      <c r="F4" s="1" t="s">
        <v>257</v>
      </c>
      <c r="G4" s="1" t="s">
        <v>279</v>
      </c>
      <c r="H4" s="1" t="s">
        <v>280</v>
      </c>
      <c r="I4" s="1" t="s">
        <v>6</v>
      </c>
    </row>
    <row r="5" spans="1:10" x14ac:dyDescent="0.3">
      <c r="A5" s="2" t="s">
        <v>281</v>
      </c>
      <c r="B5" s="18">
        <v>0</v>
      </c>
      <c r="C5" s="18">
        <v>1</v>
      </c>
      <c r="D5" s="2" t="s">
        <v>80</v>
      </c>
      <c r="E5" s="18">
        <v>5</v>
      </c>
      <c r="F5" s="10">
        <v>5</v>
      </c>
      <c r="G5" s="10">
        <v>1</v>
      </c>
      <c r="H5" s="20">
        <f>SUM($F$5:F5)</f>
        <v>5</v>
      </c>
      <c r="I5" s="20" t="str">
        <f t="shared" ref="I5:I14" si="0">IF(D5="Energy","PASS","FAIL")</f>
        <v>PASS</v>
      </c>
    </row>
    <row r="6" spans="1:10" x14ac:dyDescent="0.3">
      <c r="A6" s="2" t="s">
        <v>281</v>
      </c>
      <c r="B6" s="18">
        <v>1</v>
      </c>
      <c r="C6" s="18">
        <v>2</v>
      </c>
      <c r="D6" s="2" t="s">
        <v>80</v>
      </c>
      <c r="E6" s="18">
        <v>10</v>
      </c>
      <c r="F6" s="10">
        <v>10</v>
      </c>
      <c r="G6" s="10">
        <v>1</v>
      </c>
      <c r="H6" s="20">
        <f>SUM($F$5:F6)</f>
        <v>15</v>
      </c>
      <c r="I6" s="20" t="str">
        <f t="shared" si="0"/>
        <v>PASS</v>
      </c>
    </row>
    <row r="7" spans="1:10" x14ac:dyDescent="0.3">
      <c r="A7" s="2" t="s">
        <v>281</v>
      </c>
      <c r="B7" s="18">
        <v>2</v>
      </c>
      <c r="C7" s="18">
        <v>3</v>
      </c>
      <c r="D7" s="2" t="s">
        <v>80</v>
      </c>
      <c r="E7" s="18">
        <v>15</v>
      </c>
      <c r="F7" s="10">
        <v>15</v>
      </c>
      <c r="G7" s="10">
        <v>1</v>
      </c>
      <c r="H7" s="20">
        <f>SUM($F$5:F7)</f>
        <v>30</v>
      </c>
      <c r="I7" s="20" t="str">
        <f t="shared" si="0"/>
        <v>PASS</v>
      </c>
    </row>
    <row r="8" spans="1:10" x14ac:dyDescent="0.3">
      <c r="A8" s="2" t="s">
        <v>281</v>
      </c>
      <c r="B8" s="18">
        <v>3</v>
      </c>
      <c r="C8" s="18">
        <v>4</v>
      </c>
      <c r="D8" s="2" t="s">
        <v>80</v>
      </c>
      <c r="E8" s="18">
        <v>20</v>
      </c>
      <c r="F8" s="10">
        <v>20</v>
      </c>
      <c r="G8" s="10">
        <v>1</v>
      </c>
      <c r="H8" s="20">
        <f>SUM($F$5:F8)</f>
        <v>50</v>
      </c>
      <c r="I8" s="20" t="str">
        <f t="shared" si="0"/>
        <v>PASS</v>
      </c>
    </row>
    <row r="9" spans="1:10" x14ac:dyDescent="0.3">
      <c r="A9" s="2" t="s">
        <v>281</v>
      </c>
      <c r="B9" s="18">
        <v>4</v>
      </c>
      <c r="C9" s="18">
        <v>5</v>
      </c>
      <c r="D9" s="2" t="s">
        <v>80</v>
      </c>
      <c r="E9" s="18">
        <v>25</v>
      </c>
      <c r="F9" s="10">
        <v>25</v>
      </c>
      <c r="G9" s="10">
        <v>1</v>
      </c>
      <c r="H9" s="20">
        <f>SUM($F$5:F9)</f>
        <v>75</v>
      </c>
      <c r="I9" s="20" t="str">
        <f t="shared" si="0"/>
        <v>PASS</v>
      </c>
    </row>
    <row r="10" spans="1:10" x14ac:dyDescent="0.3">
      <c r="A10" s="2" t="s">
        <v>281</v>
      </c>
      <c r="B10" s="18">
        <v>5</v>
      </c>
      <c r="C10" s="18">
        <v>6</v>
      </c>
      <c r="D10" s="2" t="s">
        <v>80</v>
      </c>
      <c r="E10" s="18">
        <v>30</v>
      </c>
      <c r="F10" s="10">
        <v>30</v>
      </c>
      <c r="G10" s="10">
        <v>1</v>
      </c>
      <c r="H10" s="20">
        <f>SUM($F$5:F10)</f>
        <v>105</v>
      </c>
      <c r="I10" s="20" t="str">
        <f t="shared" si="0"/>
        <v>PASS</v>
      </c>
    </row>
    <row r="11" spans="1:10" x14ac:dyDescent="0.3">
      <c r="A11" s="2" t="s">
        <v>281</v>
      </c>
      <c r="B11" s="18">
        <v>6</v>
      </c>
      <c r="C11" s="18">
        <v>7</v>
      </c>
      <c r="D11" s="2" t="s">
        <v>80</v>
      </c>
      <c r="E11" s="18">
        <v>35</v>
      </c>
      <c r="F11" s="10">
        <v>35</v>
      </c>
      <c r="G11" s="10">
        <v>1</v>
      </c>
      <c r="H11" s="20">
        <f>SUM($F$5:F11)</f>
        <v>140</v>
      </c>
      <c r="I11" s="20" t="str">
        <f t="shared" si="0"/>
        <v>PASS</v>
      </c>
    </row>
    <row r="12" spans="1:10" x14ac:dyDescent="0.3">
      <c r="A12" s="2" t="s">
        <v>281</v>
      </c>
      <c r="B12" s="18">
        <v>7</v>
      </c>
      <c r="C12" s="18">
        <v>8</v>
      </c>
      <c r="D12" s="2" t="s">
        <v>80</v>
      </c>
      <c r="E12" s="18">
        <v>40</v>
      </c>
      <c r="F12" s="10">
        <v>40</v>
      </c>
      <c r="G12" s="10">
        <v>1</v>
      </c>
      <c r="H12" s="20">
        <f>SUM($F$5:F12)</f>
        <v>180</v>
      </c>
      <c r="I12" s="20" t="str">
        <f t="shared" si="0"/>
        <v>PASS</v>
      </c>
    </row>
    <row r="13" spans="1:10" x14ac:dyDescent="0.3">
      <c r="A13" s="2" t="s">
        <v>281</v>
      </c>
      <c r="B13" s="18">
        <v>8</v>
      </c>
      <c r="C13" s="18">
        <v>9</v>
      </c>
      <c r="D13" s="2" t="s">
        <v>80</v>
      </c>
      <c r="E13" s="18">
        <v>45</v>
      </c>
      <c r="F13" s="10">
        <v>45</v>
      </c>
      <c r="G13" s="10">
        <v>1</v>
      </c>
      <c r="H13" s="20">
        <f>SUM($F$5:F13)</f>
        <v>225</v>
      </c>
      <c r="I13" s="20" t="str">
        <f t="shared" si="0"/>
        <v>PASS</v>
      </c>
    </row>
    <row r="14" spans="1:10" x14ac:dyDescent="0.3">
      <c r="A14" s="2" t="s">
        <v>281</v>
      </c>
      <c r="B14" s="18">
        <v>9</v>
      </c>
      <c r="C14" s="18">
        <v>10</v>
      </c>
      <c r="D14" s="2" t="s">
        <v>80</v>
      </c>
      <c r="E14" s="18">
        <v>50</v>
      </c>
      <c r="F14" s="10">
        <v>50</v>
      </c>
      <c r="G14" s="10">
        <v>1</v>
      </c>
      <c r="H14" s="20">
        <f>SUM($F$5:F14)</f>
        <v>275</v>
      </c>
      <c r="I14" s="20" t="str">
        <f t="shared" si="0"/>
        <v>PASS</v>
      </c>
    </row>
  </sheetData>
  <autoFilter ref="A4:I14" xr:uid="{00000000-0009-0000-0000-000008000000}"/>
  <mergeCells count="2">
    <mergeCell ref="A1:J1"/>
    <mergeCell ref="A2:J2"/>
  </mergeCells>
  <phoneticPr fontId="7" type="noConversion"/>
  <printOptions horizontalCentered="1"/>
  <pageMargins left="0.75" right="0.75" top="1" bottom="1" header="0.5" footer="0.5"/>
  <pageSetup scale="82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F75B5"/>
    <pageSetUpPr fitToPage="1"/>
  </sheetPr>
  <dimension ref="A1:K16"/>
  <sheetViews>
    <sheetView showGridLines="0" zoomScale="90" workbookViewId="0">
      <pane ySplit="4" topLeftCell="A5" activePane="bottomLeft" state="frozen"/>
      <selection pane="bottomLeft"/>
    </sheetView>
  </sheetViews>
  <sheetFormatPr defaultRowHeight="16.5" x14ac:dyDescent="0.3"/>
  <cols>
    <col min="1" max="1" width="14" customWidth="1"/>
    <col min="2" max="2" width="12" customWidth="1"/>
    <col min="3" max="3" width="24" customWidth="1"/>
    <col min="4" max="4" width="12" customWidth="1"/>
    <col min="5" max="5" width="26" customWidth="1"/>
    <col min="6" max="7" width="14" customWidth="1"/>
    <col min="8" max="9" width="16" customWidth="1"/>
    <col min="10" max="10" width="14" customWidth="1"/>
    <col min="11" max="11" width="34" customWidth="1"/>
  </cols>
  <sheetData>
    <row r="1" spans="1:11" ht="30" customHeight="1" x14ac:dyDescent="0.3">
      <c r="A1" s="29" t="s">
        <v>282</v>
      </c>
      <c r="B1" s="28"/>
      <c r="C1" s="28"/>
      <c r="D1" s="28"/>
      <c r="E1" s="28"/>
      <c r="F1" s="28"/>
      <c r="G1" s="28"/>
      <c r="H1" s="28"/>
      <c r="I1" s="28"/>
      <c r="J1" s="28"/>
    </row>
    <row r="2" spans="1:11" ht="32.1" customHeight="1" x14ac:dyDescent="0.3">
      <c r="A2" s="31" t="s">
        <v>283</v>
      </c>
      <c r="B2" s="28"/>
      <c r="C2" s="28"/>
      <c r="D2" s="28"/>
      <c r="E2" s="28"/>
      <c r="F2" s="28"/>
      <c r="G2" s="28"/>
      <c r="H2" s="28"/>
      <c r="I2" s="28"/>
      <c r="J2" s="28"/>
    </row>
    <row r="4" spans="1:11" ht="27.95" customHeight="1" x14ac:dyDescent="0.3">
      <c r="A4" s="1" t="s">
        <v>49</v>
      </c>
      <c r="B4" s="1" t="s">
        <v>284</v>
      </c>
      <c r="C4" s="1" t="s">
        <v>285</v>
      </c>
      <c r="D4" s="1" t="s">
        <v>286</v>
      </c>
      <c r="E4" s="1" t="s">
        <v>287</v>
      </c>
      <c r="F4" s="1" t="s">
        <v>288</v>
      </c>
      <c r="G4" s="1" t="s">
        <v>289</v>
      </c>
      <c r="H4" s="1" t="s">
        <v>290</v>
      </c>
      <c r="I4" s="1" t="s">
        <v>291</v>
      </c>
      <c r="J4" s="1" t="s">
        <v>292</v>
      </c>
      <c r="K4" s="1" t="s">
        <v>293</v>
      </c>
    </row>
    <row r="5" spans="1:11" x14ac:dyDescent="0.3">
      <c r="A5" s="2" t="s">
        <v>56</v>
      </c>
      <c r="B5" s="2" t="s">
        <v>294</v>
      </c>
      <c r="C5" s="2" t="s">
        <v>295</v>
      </c>
      <c r="D5" s="2" t="s">
        <v>296</v>
      </c>
      <c r="E5" s="2" t="s">
        <v>297</v>
      </c>
      <c r="F5" s="25">
        <f>'03_게임결과보상'!$G$5</f>
        <v>30</v>
      </c>
      <c r="G5" s="19">
        <f>'03_게임결과보상'!$H$5*7</f>
        <v>23.1</v>
      </c>
      <c r="H5" s="25">
        <f t="shared" ref="H5:H16" si="0">F5*G5</f>
        <v>693</v>
      </c>
      <c r="I5" s="25">
        <f t="shared" ref="I5:I16" si="1">IF(B5="Source",H5,-H5)</f>
        <v>693</v>
      </c>
      <c r="J5" s="20" t="str">
        <f t="shared" ref="J5:J16" si="2">IF(B5="Sink","PASS",IF(OR(A5="Energy",A5="Shard"),IF(OR(C5="토너먼트",C5="앨범"),"PASS","FAIL"),IF(A5="CardFood",IF(C5="카드팩 중복","PASS","FAIL"),"PASS")))</f>
        <v>PASS</v>
      </c>
      <c r="K5" s="2" t="s">
        <v>55</v>
      </c>
    </row>
    <row r="6" spans="1:11" x14ac:dyDescent="0.3">
      <c r="A6" s="2" t="s">
        <v>56</v>
      </c>
      <c r="B6" s="2" t="s">
        <v>294</v>
      </c>
      <c r="C6" s="2" t="s">
        <v>298</v>
      </c>
      <c r="D6" s="2" t="s">
        <v>296</v>
      </c>
      <c r="E6" s="2" t="s">
        <v>297</v>
      </c>
      <c r="F6" s="25">
        <f>'03_게임결과보상'!$G$6</f>
        <v>5</v>
      </c>
      <c r="G6" s="19">
        <f>'03_게임결과보상'!$H$6*7</f>
        <v>18.899999999999999</v>
      </c>
      <c r="H6" s="25">
        <f t="shared" si="0"/>
        <v>94.5</v>
      </c>
      <c r="I6" s="25">
        <f t="shared" si="1"/>
        <v>94.5</v>
      </c>
      <c r="J6" s="20" t="str">
        <f t="shared" si="2"/>
        <v>PASS</v>
      </c>
      <c r="K6" s="2" t="s">
        <v>299</v>
      </c>
    </row>
    <row r="7" spans="1:11" x14ac:dyDescent="0.3">
      <c r="A7" s="2" t="s">
        <v>80</v>
      </c>
      <c r="B7" s="2" t="s">
        <v>294</v>
      </c>
      <c r="C7" s="2" t="s">
        <v>84</v>
      </c>
      <c r="D7" s="2" t="s">
        <v>171</v>
      </c>
      <c r="E7" s="2" t="s">
        <v>300</v>
      </c>
      <c r="F7" s="25">
        <f>SUMIF('04_토너먼트보상'!$D$5:$D$16,A7,'04_토너먼트보상'!$H$5:$H$16)</f>
        <v>26.666666666666664</v>
      </c>
      <c r="G7" s="26">
        <v>1</v>
      </c>
      <c r="H7" s="25">
        <f t="shared" si="0"/>
        <v>26.666666666666664</v>
      </c>
      <c r="I7" s="25">
        <f t="shared" si="1"/>
        <v>26.666666666666664</v>
      </c>
      <c r="J7" s="20" t="str">
        <f t="shared" si="2"/>
        <v>PASS</v>
      </c>
      <c r="K7" s="2" t="s">
        <v>301</v>
      </c>
    </row>
    <row r="8" spans="1:11" x14ac:dyDescent="0.3">
      <c r="A8" s="2" t="s">
        <v>74</v>
      </c>
      <c r="B8" s="2" t="s">
        <v>294</v>
      </c>
      <c r="C8" s="2" t="s">
        <v>84</v>
      </c>
      <c r="D8" s="2" t="s">
        <v>171</v>
      </c>
      <c r="E8" s="2" t="s">
        <v>300</v>
      </c>
      <c r="F8" s="25">
        <f>SUMIF('04_토너먼트보상'!$D$5:$D$16,A8,'04_토너먼트보상'!$H$5:$H$16)</f>
        <v>75</v>
      </c>
      <c r="G8" s="26">
        <v>1</v>
      </c>
      <c r="H8" s="25">
        <f t="shared" si="0"/>
        <v>75</v>
      </c>
      <c r="I8" s="25">
        <f t="shared" si="1"/>
        <v>75</v>
      </c>
      <c r="J8" s="20" t="str">
        <f t="shared" si="2"/>
        <v>PASS</v>
      </c>
      <c r="K8" s="2" t="s">
        <v>301</v>
      </c>
    </row>
    <row r="9" spans="1:11" x14ac:dyDescent="0.3">
      <c r="A9" s="2" t="s">
        <v>80</v>
      </c>
      <c r="B9" s="2" t="s">
        <v>294</v>
      </c>
      <c r="C9" s="2" t="s">
        <v>91</v>
      </c>
      <c r="D9" s="2" t="s">
        <v>171</v>
      </c>
      <c r="E9" s="2" t="s">
        <v>302</v>
      </c>
      <c r="F9" s="25">
        <f>SUMIF('05_앨범보상'!$D$5:$D$12,A9,'05_앨범보상'!$H$5:$H$12)</f>
        <v>6.375</v>
      </c>
      <c r="G9" s="26">
        <v>1</v>
      </c>
      <c r="H9" s="25">
        <f t="shared" si="0"/>
        <v>6.375</v>
      </c>
      <c r="I9" s="25">
        <f t="shared" si="1"/>
        <v>6.375</v>
      </c>
      <c r="J9" s="20" t="str">
        <f t="shared" si="2"/>
        <v>PASS</v>
      </c>
      <c r="K9" s="2" t="s">
        <v>301</v>
      </c>
    </row>
    <row r="10" spans="1:11" x14ac:dyDescent="0.3">
      <c r="A10" s="2" t="s">
        <v>74</v>
      </c>
      <c r="B10" s="2" t="s">
        <v>294</v>
      </c>
      <c r="C10" s="2" t="s">
        <v>91</v>
      </c>
      <c r="D10" s="2" t="s">
        <v>171</v>
      </c>
      <c r="E10" s="2" t="s">
        <v>302</v>
      </c>
      <c r="F10" s="25">
        <f>SUMIF('05_앨범보상'!$D$5:$D$12,A10,'05_앨범보상'!$H$5:$H$12)</f>
        <v>15.675000000000001</v>
      </c>
      <c r="G10" s="26">
        <v>1</v>
      </c>
      <c r="H10" s="25">
        <f t="shared" si="0"/>
        <v>15.675000000000001</v>
      </c>
      <c r="I10" s="25">
        <f t="shared" si="1"/>
        <v>15.675000000000001</v>
      </c>
      <c r="J10" s="20" t="str">
        <f t="shared" si="2"/>
        <v>PASS</v>
      </c>
      <c r="K10" s="2" t="s">
        <v>301</v>
      </c>
    </row>
    <row r="11" spans="1:11" x14ac:dyDescent="0.3">
      <c r="A11" s="2" t="s">
        <v>56</v>
      </c>
      <c r="B11" s="2" t="s">
        <v>303</v>
      </c>
      <c r="C11" s="2" t="s">
        <v>304</v>
      </c>
      <c r="D11" s="2" t="s">
        <v>296</v>
      </c>
      <c r="E11" s="2" t="s">
        <v>305</v>
      </c>
      <c r="F11" s="25">
        <f>'06_카드팩'!$G$5</f>
        <v>250</v>
      </c>
      <c r="G11" s="19">
        <f>INDEX('02_공통파라미터'!$G$7:$G$9,MATCH('02_공통파라미터'!$B$4,'02_공통파라미터'!$A$7:$A$9,0))</f>
        <v>2</v>
      </c>
      <c r="H11" s="25">
        <f t="shared" si="0"/>
        <v>500</v>
      </c>
      <c r="I11" s="25">
        <f t="shared" si="1"/>
        <v>-500</v>
      </c>
      <c r="J11" s="20" t="str">
        <f t="shared" si="2"/>
        <v>PASS</v>
      </c>
      <c r="K11" s="2" t="s">
        <v>306</v>
      </c>
    </row>
    <row r="12" spans="1:11" x14ac:dyDescent="0.3">
      <c r="A12" s="2" t="s">
        <v>134</v>
      </c>
      <c r="B12" s="2" t="s">
        <v>303</v>
      </c>
      <c r="C12" s="2" t="s">
        <v>307</v>
      </c>
      <c r="D12" s="2" t="s">
        <v>296</v>
      </c>
      <c r="E12" s="2" t="s">
        <v>308</v>
      </c>
      <c r="F12" s="25">
        <f>'06_카드팩'!$G$7</f>
        <v>30</v>
      </c>
      <c r="G12" s="19">
        <f>INDEX('02_공통파라미터'!$H$7:$H$9,MATCH('02_공통파라미터'!$B$4,'02_공통파라미터'!$A$7:$A$9,0))/4.345</f>
        <v>0.23014959723820486</v>
      </c>
      <c r="H12" s="25">
        <f t="shared" si="0"/>
        <v>6.9044879171461453</v>
      </c>
      <c r="I12" s="25">
        <f t="shared" si="1"/>
        <v>-6.9044879171461453</v>
      </c>
      <c r="J12" s="20" t="str">
        <f t="shared" si="2"/>
        <v>PASS</v>
      </c>
      <c r="K12" s="2" t="s">
        <v>309</v>
      </c>
    </row>
    <row r="13" spans="1:11" x14ac:dyDescent="0.3">
      <c r="A13" s="2" t="s">
        <v>74</v>
      </c>
      <c r="B13" s="2" t="s">
        <v>303</v>
      </c>
      <c r="C13" s="2" t="s">
        <v>310</v>
      </c>
      <c r="D13" s="2" t="s">
        <v>296</v>
      </c>
      <c r="E13" s="2" t="s">
        <v>311</v>
      </c>
      <c r="F13" s="25">
        <f>AVERAGE('07_카드성장'!$G$5:$G$7)</f>
        <v>83.333333333333329</v>
      </c>
      <c r="G13" s="19">
        <f>INDEX('02_공통파라미터'!$I$7:$I$9,MATCH('02_공통파라미터'!$B$4,'02_공통파라미터'!$A$7:$A$9,0))</f>
        <v>1</v>
      </c>
      <c r="H13" s="25">
        <f t="shared" si="0"/>
        <v>83.333333333333329</v>
      </c>
      <c r="I13" s="25">
        <f t="shared" si="1"/>
        <v>-83.333333333333329</v>
      </c>
      <c r="J13" s="20" t="str">
        <f t="shared" si="2"/>
        <v>PASS</v>
      </c>
      <c r="K13" s="2" t="s">
        <v>312</v>
      </c>
    </row>
    <row r="14" spans="1:11" x14ac:dyDescent="0.3">
      <c r="A14" s="2" t="s">
        <v>80</v>
      </c>
      <c r="B14" s="2" t="s">
        <v>303</v>
      </c>
      <c r="C14" s="2" t="s">
        <v>23</v>
      </c>
      <c r="D14" s="2" t="s">
        <v>296</v>
      </c>
      <c r="E14" s="2" t="s">
        <v>313</v>
      </c>
      <c r="F14" s="25">
        <f>AVERAGE('08_키워드성장'!$F$5:$F$14)</f>
        <v>27.5</v>
      </c>
      <c r="G14" s="19">
        <f>INDEX('02_공통파라미터'!$J$7:$J$9,MATCH('02_공통파라미터'!$B$4,'02_공통파라미터'!$A$7:$A$9,0))</f>
        <v>0.5</v>
      </c>
      <c r="H14" s="25">
        <f t="shared" si="0"/>
        <v>13.75</v>
      </c>
      <c r="I14" s="25">
        <f t="shared" si="1"/>
        <v>-13.75</v>
      </c>
      <c r="J14" s="20" t="str">
        <f t="shared" si="2"/>
        <v>PASS</v>
      </c>
      <c r="K14" s="2" t="s">
        <v>314</v>
      </c>
    </row>
    <row r="15" spans="1:11" x14ac:dyDescent="0.3">
      <c r="A15" s="2" t="s">
        <v>69</v>
      </c>
      <c r="B15" s="2" t="s">
        <v>294</v>
      </c>
      <c r="C15" s="2" t="s">
        <v>315</v>
      </c>
      <c r="D15" s="2" t="s">
        <v>296</v>
      </c>
      <c r="E15" s="2" t="s">
        <v>316</v>
      </c>
      <c r="F15" s="25">
        <f>'06_카드팩'!$L$5</f>
        <v>2.7</v>
      </c>
      <c r="G15" s="19">
        <f>INDEX('02_공통파라미터'!$G$7:$G$9,MATCH('02_공통파라미터'!$B$4,'02_공통파라미터'!$A$7:$A$9,0))</f>
        <v>2</v>
      </c>
      <c r="H15" s="25">
        <f t="shared" si="0"/>
        <v>5.4</v>
      </c>
      <c r="I15" s="25">
        <f t="shared" si="1"/>
        <v>5.4</v>
      </c>
      <c r="J15" s="20" t="str">
        <f t="shared" si="2"/>
        <v>PASS</v>
      </c>
      <c r="K15" s="2" t="s">
        <v>317</v>
      </c>
    </row>
    <row r="16" spans="1:11" x14ac:dyDescent="0.3">
      <c r="A16" s="2" t="s">
        <v>69</v>
      </c>
      <c r="B16" s="2" t="s">
        <v>303</v>
      </c>
      <c r="C16" s="2" t="s">
        <v>15</v>
      </c>
      <c r="D16" s="2" t="s">
        <v>296</v>
      </c>
      <c r="E16" s="2" t="s">
        <v>318</v>
      </c>
      <c r="F16" s="25">
        <f>AVERAGE('07_카드성장'!$G$8:$G$10)</f>
        <v>2</v>
      </c>
      <c r="G16" s="19">
        <f>INDEX('02_공통파라미터'!$K$7:$K$9,MATCH('02_공통파라미터'!$B$4,'02_공통파라미터'!$A$7:$A$9,0))</f>
        <v>0.3</v>
      </c>
      <c r="H16" s="25">
        <f t="shared" si="0"/>
        <v>0.6</v>
      </c>
      <c r="I16" s="25">
        <f t="shared" si="1"/>
        <v>-0.6</v>
      </c>
      <c r="J16" s="20" t="str">
        <f t="shared" si="2"/>
        <v>PASS</v>
      </c>
      <c r="K16" s="2" t="s">
        <v>319</v>
      </c>
    </row>
  </sheetData>
  <autoFilter ref="A4:K16" xr:uid="{00000000-0009-0000-0000-000009000000}"/>
  <mergeCells count="2">
    <mergeCell ref="A1:J1"/>
    <mergeCell ref="A2:J2"/>
  </mergeCells>
  <phoneticPr fontId="7" type="noConversion"/>
  <printOptions horizontalCentered="1"/>
  <pageMargins left="0.75" right="0.75" top="1" bottom="1" header="0.5" footer="0.5"/>
  <pageSetup scale="56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F75B5"/>
    <pageSetUpPr fitToPage="1"/>
  </sheetPr>
  <dimension ref="A1:K35"/>
  <sheetViews>
    <sheetView showGridLines="0" zoomScale="90" workbookViewId="0">
      <pane ySplit="4" topLeftCell="A5" activePane="bottomLeft" state="frozen"/>
      <selection pane="bottomLeft"/>
    </sheetView>
  </sheetViews>
  <sheetFormatPr defaultRowHeight="16.5" x14ac:dyDescent="0.3"/>
  <cols>
    <col min="1" max="1" width="10" customWidth="1"/>
    <col min="2" max="5" width="15" customWidth="1"/>
    <col min="6" max="6" width="18" customWidth="1"/>
    <col min="7" max="7" width="16" customWidth="1"/>
    <col min="8" max="8" width="18" customWidth="1"/>
    <col min="9" max="9" width="17" customWidth="1"/>
    <col min="10" max="10" width="16" customWidth="1"/>
    <col min="11" max="11" width="18" customWidth="1"/>
  </cols>
  <sheetData>
    <row r="1" spans="1:11" ht="30" customHeight="1" x14ac:dyDescent="0.3">
      <c r="A1" s="29" t="s">
        <v>320</v>
      </c>
      <c r="B1" s="28"/>
      <c r="C1" s="28"/>
      <c r="D1" s="28"/>
      <c r="E1" s="28"/>
      <c r="F1" s="28"/>
      <c r="G1" s="28"/>
      <c r="H1" s="28"/>
      <c r="I1" s="28"/>
      <c r="J1" s="28"/>
    </row>
    <row r="2" spans="1:11" ht="32.1" customHeight="1" x14ac:dyDescent="0.3">
      <c r="A2" s="31" t="s">
        <v>321</v>
      </c>
      <c r="B2" s="28"/>
      <c r="C2" s="28"/>
      <c r="D2" s="28"/>
      <c r="E2" s="28"/>
      <c r="F2" s="28"/>
      <c r="G2" s="28"/>
      <c r="H2" s="28"/>
      <c r="I2" s="28"/>
      <c r="J2" s="28"/>
    </row>
    <row r="4" spans="1:11" ht="27.95" customHeight="1" x14ac:dyDescent="0.3">
      <c r="A4" s="1" t="s">
        <v>322</v>
      </c>
      <c r="B4" s="1" t="s">
        <v>56</v>
      </c>
      <c r="C4" s="1" t="s">
        <v>134</v>
      </c>
      <c r="D4" s="1" t="s">
        <v>80</v>
      </c>
      <c r="E4" s="1" t="s">
        <v>74</v>
      </c>
      <c r="F4" s="1" t="s">
        <v>323</v>
      </c>
      <c r="G4" s="1" t="s">
        <v>324</v>
      </c>
      <c r="H4" s="1" t="s">
        <v>325</v>
      </c>
      <c r="I4" s="1" t="s">
        <v>326</v>
      </c>
      <c r="J4" s="1" t="s">
        <v>327</v>
      </c>
      <c r="K4" s="1" t="s">
        <v>328</v>
      </c>
    </row>
    <row r="5" spans="1:11" x14ac:dyDescent="0.3">
      <c r="A5" s="18">
        <v>0</v>
      </c>
      <c r="B5" s="14">
        <f>'02_공통파라미터'!$B$15</f>
        <v>500</v>
      </c>
      <c r="C5" s="14">
        <f>'02_공통파라미터'!$B$16</f>
        <v>100</v>
      </c>
      <c r="D5" s="14">
        <f>'02_공통파라미터'!$B$17</f>
        <v>0</v>
      </c>
      <c r="E5" s="14">
        <f>'02_공통파라미터'!$B$18</f>
        <v>0</v>
      </c>
      <c r="F5" s="14">
        <f>'02_공통파라미터'!$B$19</f>
        <v>0</v>
      </c>
      <c r="G5" s="14">
        <f>SUMIF('09_재화흐름'!$A$5:$A$16,"Gold",'09_재화흐름'!$I$5:$I$16)/7</f>
        <v>41.071428571428569</v>
      </c>
      <c r="H5" s="14">
        <f>SUMIF('09_재화흐름'!$A$5:$A$16,"Diamond",'09_재화흐름'!$I$5:$I$16)/7</f>
        <v>-0.98635541673516358</v>
      </c>
      <c r="I5" s="14">
        <f>SUMIF('09_재화흐름'!$A$5:$A$16,"Energy",'09_재화흐름'!$I$5:$I$16)/7</f>
        <v>2.7559523809523805</v>
      </c>
      <c r="J5" s="14">
        <f>SUMIF('09_재화흐름'!$A$5:$A$16,"Shard",'09_재화흐름'!$I$5:$I$16)/7</f>
        <v>1.0488095238095241</v>
      </c>
      <c r="K5" s="14">
        <f>SUMIF('09_재화흐름'!$A$5:$A$16,"CardFood",'09_재화흐름'!$I$5:$I$16)/7</f>
        <v>0.68571428571428583</v>
      </c>
    </row>
    <row r="6" spans="1:11" x14ac:dyDescent="0.3">
      <c r="A6" s="18">
        <v>1</v>
      </c>
      <c r="B6" s="14">
        <f t="shared" ref="B6:B35" si="0">B5+G6</f>
        <v>541.07142857142856</v>
      </c>
      <c r="C6" s="14">
        <f t="shared" ref="C6:C35" si="1">C5+H6</f>
        <v>99.013644583264835</v>
      </c>
      <c r="D6" s="14">
        <f t="shared" ref="D6:D35" si="2">D5+I6</f>
        <v>2.7559523809523805</v>
      </c>
      <c r="E6" s="14">
        <f t="shared" ref="E6:E35" si="3">E5+J6</f>
        <v>1.0488095238095241</v>
      </c>
      <c r="F6" s="14">
        <f t="shared" ref="F6:F35" si="4">F5+K6</f>
        <v>0.68571428571428583</v>
      </c>
      <c r="G6" s="14">
        <f>SUMIF('09_재화흐름'!$A$5:$A$16,"Gold",'09_재화흐름'!$I$5:$I$16)/7</f>
        <v>41.071428571428569</v>
      </c>
      <c r="H6" s="14">
        <f>SUMIF('09_재화흐름'!$A$5:$A$16,"Diamond",'09_재화흐름'!$I$5:$I$16)/7</f>
        <v>-0.98635541673516358</v>
      </c>
      <c r="I6" s="14">
        <f>SUMIF('09_재화흐름'!$A$5:$A$16,"Energy",'09_재화흐름'!$I$5:$I$16)/7</f>
        <v>2.7559523809523805</v>
      </c>
      <c r="J6" s="14">
        <f>SUMIF('09_재화흐름'!$A$5:$A$16,"Shard",'09_재화흐름'!$I$5:$I$16)/7</f>
        <v>1.0488095238095241</v>
      </c>
      <c r="K6" s="14">
        <f>SUMIF('09_재화흐름'!$A$5:$A$16,"CardFood",'09_재화흐름'!$I$5:$I$16)/7</f>
        <v>0.68571428571428583</v>
      </c>
    </row>
    <row r="7" spans="1:11" x14ac:dyDescent="0.3">
      <c r="A7" s="18">
        <v>2</v>
      </c>
      <c r="B7" s="14">
        <f t="shared" si="0"/>
        <v>582.14285714285711</v>
      </c>
      <c r="C7" s="14">
        <f t="shared" si="1"/>
        <v>98.02728916652967</v>
      </c>
      <c r="D7" s="14">
        <f t="shared" si="2"/>
        <v>5.511904761904761</v>
      </c>
      <c r="E7" s="14">
        <f t="shared" si="3"/>
        <v>2.0976190476190482</v>
      </c>
      <c r="F7" s="14">
        <f t="shared" si="4"/>
        <v>1.3714285714285717</v>
      </c>
      <c r="G7" s="14">
        <f>SUMIF('09_재화흐름'!$A$5:$A$16,"Gold",'09_재화흐름'!$I$5:$I$16)/7</f>
        <v>41.071428571428569</v>
      </c>
      <c r="H7" s="14">
        <f>SUMIF('09_재화흐름'!$A$5:$A$16,"Diamond",'09_재화흐름'!$I$5:$I$16)/7</f>
        <v>-0.98635541673516358</v>
      </c>
      <c r="I7" s="14">
        <f>SUMIF('09_재화흐름'!$A$5:$A$16,"Energy",'09_재화흐름'!$I$5:$I$16)/7</f>
        <v>2.7559523809523805</v>
      </c>
      <c r="J7" s="14">
        <f>SUMIF('09_재화흐름'!$A$5:$A$16,"Shard",'09_재화흐름'!$I$5:$I$16)/7</f>
        <v>1.0488095238095241</v>
      </c>
      <c r="K7" s="14">
        <f>SUMIF('09_재화흐름'!$A$5:$A$16,"CardFood",'09_재화흐름'!$I$5:$I$16)/7</f>
        <v>0.68571428571428583</v>
      </c>
    </row>
    <row r="8" spans="1:11" x14ac:dyDescent="0.3">
      <c r="A8" s="18">
        <v>3</v>
      </c>
      <c r="B8" s="14">
        <f t="shared" si="0"/>
        <v>623.21428571428567</v>
      </c>
      <c r="C8" s="14">
        <f t="shared" si="1"/>
        <v>97.040933749794505</v>
      </c>
      <c r="D8" s="14">
        <f t="shared" si="2"/>
        <v>8.2678571428571423</v>
      </c>
      <c r="E8" s="14">
        <f t="shared" si="3"/>
        <v>3.1464285714285722</v>
      </c>
      <c r="F8" s="14">
        <f t="shared" si="4"/>
        <v>2.0571428571428574</v>
      </c>
      <c r="G8" s="14">
        <f>SUMIF('09_재화흐름'!$A$5:$A$16,"Gold",'09_재화흐름'!$I$5:$I$16)/7</f>
        <v>41.071428571428569</v>
      </c>
      <c r="H8" s="14">
        <f>SUMIF('09_재화흐름'!$A$5:$A$16,"Diamond",'09_재화흐름'!$I$5:$I$16)/7</f>
        <v>-0.98635541673516358</v>
      </c>
      <c r="I8" s="14">
        <f>SUMIF('09_재화흐름'!$A$5:$A$16,"Energy",'09_재화흐름'!$I$5:$I$16)/7</f>
        <v>2.7559523809523805</v>
      </c>
      <c r="J8" s="14">
        <f>SUMIF('09_재화흐름'!$A$5:$A$16,"Shard",'09_재화흐름'!$I$5:$I$16)/7</f>
        <v>1.0488095238095241</v>
      </c>
      <c r="K8" s="14">
        <f>SUMIF('09_재화흐름'!$A$5:$A$16,"CardFood",'09_재화흐름'!$I$5:$I$16)/7</f>
        <v>0.68571428571428583</v>
      </c>
    </row>
    <row r="9" spans="1:11" x14ac:dyDescent="0.3">
      <c r="A9" s="18">
        <v>4</v>
      </c>
      <c r="B9" s="14">
        <f t="shared" si="0"/>
        <v>664.28571428571422</v>
      </c>
      <c r="C9" s="14">
        <f t="shared" si="1"/>
        <v>96.054578333059339</v>
      </c>
      <c r="D9" s="14">
        <f t="shared" si="2"/>
        <v>11.023809523809522</v>
      </c>
      <c r="E9" s="14">
        <f t="shared" si="3"/>
        <v>4.1952380952380963</v>
      </c>
      <c r="F9" s="14">
        <f t="shared" si="4"/>
        <v>2.7428571428571433</v>
      </c>
      <c r="G9" s="14">
        <f>SUMIF('09_재화흐름'!$A$5:$A$16,"Gold",'09_재화흐름'!$I$5:$I$16)/7</f>
        <v>41.071428571428569</v>
      </c>
      <c r="H9" s="14">
        <f>SUMIF('09_재화흐름'!$A$5:$A$16,"Diamond",'09_재화흐름'!$I$5:$I$16)/7</f>
        <v>-0.98635541673516358</v>
      </c>
      <c r="I9" s="14">
        <f>SUMIF('09_재화흐름'!$A$5:$A$16,"Energy",'09_재화흐름'!$I$5:$I$16)/7</f>
        <v>2.7559523809523805</v>
      </c>
      <c r="J9" s="14">
        <f>SUMIF('09_재화흐름'!$A$5:$A$16,"Shard",'09_재화흐름'!$I$5:$I$16)/7</f>
        <v>1.0488095238095241</v>
      </c>
      <c r="K9" s="14">
        <f>SUMIF('09_재화흐름'!$A$5:$A$16,"CardFood",'09_재화흐름'!$I$5:$I$16)/7</f>
        <v>0.68571428571428583</v>
      </c>
    </row>
    <row r="10" spans="1:11" x14ac:dyDescent="0.3">
      <c r="A10" s="18">
        <v>5</v>
      </c>
      <c r="B10" s="14">
        <f t="shared" si="0"/>
        <v>705.35714285714278</v>
      </c>
      <c r="C10" s="14">
        <f t="shared" si="1"/>
        <v>95.068222916324174</v>
      </c>
      <c r="D10" s="14">
        <f t="shared" si="2"/>
        <v>13.779761904761902</v>
      </c>
      <c r="E10" s="14">
        <f t="shared" si="3"/>
        <v>5.2440476190476204</v>
      </c>
      <c r="F10" s="14">
        <f t="shared" si="4"/>
        <v>3.4285714285714293</v>
      </c>
      <c r="G10" s="14">
        <f>SUMIF('09_재화흐름'!$A$5:$A$16,"Gold",'09_재화흐름'!$I$5:$I$16)/7</f>
        <v>41.071428571428569</v>
      </c>
      <c r="H10" s="14">
        <f>SUMIF('09_재화흐름'!$A$5:$A$16,"Diamond",'09_재화흐름'!$I$5:$I$16)/7</f>
        <v>-0.98635541673516358</v>
      </c>
      <c r="I10" s="14">
        <f>SUMIF('09_재화흐름'!$A$5:$A$16,"Energy",'09_재화흐름'!$I$5:$I$16)/7</f>
        <v>2.7559523809523805</v>
      </c>
      <c r="J10" s="14">
        <f>SUMIF('09_재화흐름'!$A$5:$A$16,"Shard",'09_재화흐름'!$I$5:$I$16)/7</f>
        <v>1.0488095238095241</v>
      </c>
      <c r="K10" s="14">
        <f>SUMIF('09_재화흐름'!$A$5:$A$16,"CardFood",'09_재화흐름'!$I$5:$I$16)/7</f>
        <v>0.68571428571428583</v>
      </c>
    </row>
    <row r="11" spans="1:11" x14ac:dyDescent="0.3">
      <c r="A11" s="18">
        <v>6</v>
      </c>
      <c r="B11" s="14">
        <f t="shared" si="0"/>
        <v>746.42857142857133</v>
      </c>
      <c r="C11" s="14">
        <f t="shared" si="1"/>
        <v>94.081867499589009</v>
      </c>
      <c r="D11" s="14">
        <f t="shared" si="2"/>
        <v>16.535714285714281</v>
      </c>
      <c r="E11" s="14">
        <f t="shared" si="3"/>
        <v>6.2928571428571445</v>
      </c>
      <c r="F11" s="14">
        <f t="shared" si="4"/>
        <v>4.1142857142857148</v>
      </c>
      <c r="G11" s="14">
        <f>SUMIF('09_재화흐름'!$A$5:$A$16,"Gold",'09_재화흐름'!$I$5:$I$16)/7</f>
        <v>41.071428571428569</v>
      </c>
      <c r="H11" s="14">
        <f>SUMIF('09_재화흐름'!$A$5:$A$16,"Diamond",'09_재화흐름'!$I$5:$I$16)/7</f>
        <v>-0.98635541673516358</v>
      </c>
      <c r="I11" s="14">
        <f>SUMIF('09_재화흐름'!$A$5:$A$16,"Energy",'09_재화흐름'!$I$5:$I$16)/7</f>
        <v>2.7559523809523805</v>
      </c>
      <c r="J11" s="14">
        <f>SUMIF('09_재화흐름'!$A$5:$A$16,"Shard",'09_재화흐름'!$I$5:$I$16)/7</f>
        <v>1.0488095238095241</v>
      </c>
      <c r="K11" s="14">
        <f>SUMIF('09_재화흐름'!$A$5:$A$16,"CardFood",'09_재화흐름'!$I$5:$I$16)/7</f>
        <v>0.68571428571428583</v>
      </c>
    </row>
    <row r="12" spans="1:11" x14ac:dyDescent="0.3">
      <c r="A12" s="18">
        <v>7</v>
      </c>
      <c r="B12" s="14">
        <f t="shared" si="0"/>
        <v>787.49999999999989</v>
      </c>
      <c r="C12" s="14">
        <f t="shared" si="1"/>
        <v>93.095512082853844</v>
      </c>
      <c r="D12" s="14">
        <f t="shared" si="2"/>
        <v>19.291666666666661</v>
      </c>
      <c r="E12" s="14">
        <f t="shared" si="3"/>
        <v>7.3416666666666686</v>
      </c>
      <c r="F12" s="14">
        <f t="shared" si="4"/>
        <v>4.8000000000000007</v>
      </c>
      <c r="G12" s="14">
        <f>SUMIF('09_재화흐름'!$A$5:$A$16,"Gold",'09_재화흐름'!$I$5:$I$16)/7</f>
        <v>41.071428571428569</v>
      </c>
      <c r="H12" s="14">
        <f>SUMIF('09_재화흐름'!$A$5:$A$16,"Diamond",'09_재화흐름'!$I$5:$I$16)/7</f>
        <v>-0.98635541673516358</v>
      </c>
      <c r="I12" s="14">
        <f>SUMIF('09_재화흐름'!$A$5:$A$16,"Energy",'09_재화흐름'!$I$5:$I$16)/7</f>
        <v>2.7559523809523805</v>
      </c>
      <c r="J12" s="14">
        <f>SUMIF('09_재화흐름'!$A$5:$A$16,"Shard",'09_재화흐름'!$I$5:$I$16)/7</f>
        <v>1.0488095238095241</v>
      </c>
      <c r="K12" s="14">
        <f>SUMIF('09_재화흐름'!$A$5:$A$16,"CardFood",'09_재화흐름'!$I$5:$I$16)/7</f>
        <v>0.68571428571428583</v>
      </c>
    </row>
    <row r="13" spans="1:11" x14ac:dyDescent="0.3">
      <c r="A13" s="18">
        <v>8</v>
      </c>
      <c r="B13" s="14">
        <f t="shared" si="0"/>
        <v>828.57142857142844</v>
      </c>
      <c r="C13" s="14">
        <f t="shared" si="1"/>
        <v>92.109156666118679</v>
      </c>
      <c r="D13" s="14">
        <f t="shared" si="2"/>
        <v>22.04761904761904</v>
      </c>
      <c r="E13" s="14">
        <f t="shared" si="3"/>
        <v>8.3904761904761926</v>
      </c>
      <c r="F13" s="14">
        <f t="shared" si="4"/>
        <v>5.4857142857142867</v>
      </c>
      <c r="G13" s="14">
        <f>SUMIF('09_재화흐름'!$A$5:$A$16,"Gold",'09_재화흐름'!$I$5:$I$16)/7</f>
        <v>41.071428571428569</v>
      </c>
      <c r="H13" s="14">
        <f>SUMIF('09_재화흐름'!$A$5:$A$16,"Diamond",'09_재화흐름'!$I$5:$I$16)/7</f>
        <v>-0.98635541673516358</v>
      </c>
      <c r="I13" s="14">
        <f>SUMIF('09_재화흐름'!$A$5:$A$16,"Energy",'09_재화흐름'!$I$5:$I$16)/7</f>
        <v>2.7559523809523805</v>
      </c>
      <c r="J13" s="14">
        <f>SUMIF('09_재화흐름'!$A$5:$A$16,"Shard",'09_재화흐름'!$I$5:$I$16)/7</f>
        <v>1.0488095238095241</v>
      </c>
      <c r="K13" s="14">
        <f>SUMIF('09_재화흐름'!$A$5:$A$16,"CardFood",'09_재화흐름'!$I$5:$I$16)/7</f>
        <v>0.68571428571428583</v>
      </c>
    </row>
    <row r="14" spans="1:11" x14ac:dyDescent="0.3">
      <c r="A14" s="18">
        <v>9</v>
      </c>
      <c r="B14" s="14">
        <f t="shared" si="0"/>
        <v>869.642857142857</v>
      </c>
      <c r="C14" s="14">
        <f t="shared" si="1"/>
        <v>91.122801249383514</v>
      </c>
      <c r="D14" s="14">
        <f t="shared" si="2"/>
        <v>24.80357142857142</v>
      </c>
      <c r="E14" s="14">
        <f t="shared" si="3"/>
        <v>9.4392857142857167</v>
      </c>
      <c r="F14" s="14">
        <f t="shared" si="4"/>
        <v>6.1714285714285726</v>
      </c>
      <c r="G14" s="14">
        <f>SUMIF('09_재화흐름'!$A$5:$A$16,"Gold",'09_재화흐름'!$I$5:$I$16)/7</f>
        <v>41.071428571428569</v>
      </c>
      <c r="H14" s="14">
        <f>SUMIF('09_재화흐름'!$A$5:$A$16,"Diamond",'09_재화흐름'!$I$5:$I$16)/7</f>
        <v>-0.98635541673516358</v>
      </c>
      <c r="I14" s="14">
        <f>SUMIF('09_재화흐름'!$A$5:$A$16,"Energy",'09_재화흐름'!$I$5:$I$16)/7</f>
        <v>2.7559523809523805</v>
      </c>
      <c r="J14" s="14">
        <f>SUMIF('09_재화흐름'!$A$5:$A$16,"Shard",'09_재화흐름'!$I$5:$I$16)/7</f>
        <v>1.0488095238095241</v>
      </c>
      <c r="K14" s="14">
        <f>SUMIF('09_재화흐름'!$A$5:$A$16,"CardFood",'09_재화흐름'!$I$5:$I$16)/7</f>
        <v>0.68571428571428583</v>
      </c>
    </row>
    <row r="15" spans="1:11" x14ac:dyDescent="0.3">
      <c r="A15" s="18">
        <v>10</v>
      </c>
      <c r="B15" s="14">
        <f t="shared" si="0"/>
        <v>910.71428571428555</v>
      </c>
      <c r="C15" s="14">
        <f t="shared" si="1"/>
        <v>90.136445832648349</v>
      </c>
      <c r="D15" s="14">
        <f t="shared" si="2"/>
        <v>27.5595238095238</v>
      </c>
      <c r="E15" s="14">
        <f t="shared" si="3"/>
        <v>10.488095238095241</v>
      </c>
      <c r="F15" s="14">
        <f t="shared" si="4"/>
        <v>6.8571428571428585</v>
      </c>
      <c r="G15" s="14">
        <f>SUMIF('09_재화흐름'!$A$5:$A$16,"Gold",'09_재화흐름'!$I$5:$I$16)/7</f>
        <v>41.071428571428569</v>
      </c>
      <c r="H15" s="14">
        <f>SUMIF('09_재화흐름'!$A$5:$A$16,"Diamond",'09_재화흐름'!$I$5:$I$16)/7</f>
        <v>-0.98635541673516358</v>
      </c>
      <c r="I15" s="14">
        <f>SUMIF('09_재화흐름'!$A$5:$A$16,"Energy",'09_재화흐름'!$I$5:$I$16)/7</f>
        <v>2.7559523809523805</v>
      </c>
      <c r="J15" s="14">
        <f>SUMIF('09_재화흐름'!$A$5:$A$16,"Shard",'09_재화흐름'!$I$5:$I$16)/7</f>
        <v>1.0488095238095241</v>
      </c>
      <c r="K15" s="14">
        <f>SUMIF('09_재화흐름'!$A$5:$A$16,"CardFood",'09_재화흐름'!$I$5:$I$16)/7</f>
        <v>0.68571428571428583</v>
      </c>
    </row>
    <row r="16" spans="1:11" x14ac:dyDescent="0.3">
      <c r="A16" s="18">
        <v>11</v>
      </c>
      <c r="B16" s="14">
        <f t="shared" si="0"/>
        <v>951.78571428571411</v>
      </c>
      <c r="C16" s="14">
        <f t="shared" si="1"/>
        <v>89.150090415913184</v>
      </c>
      <c r="D16" s="14">
        <f t="shared" si="2"/>
        <v>30.315476190476179</v>
      </c>
      <c r="E16" s="14">
        <f t="shared" si="3"/>
        <v>11.536904761904765</v>
      </c>
      <c r="F16" s="14">
        <f t="shared" si="4"/>
        <v>7.5428571428571445</v>
      </c>
      <c r="G16" s="14">
        <f>SUMIF('09_재화흐름'!$A$5:$A$16,"Gold",'09_재화흐름'!$I$5:$I$16)/7</f>
        <v>41.071428571428569</v>
      </c>
      <c r="H16" s="14">
        <f>SUMIF('09_재화흐름'!$A$5:$A$16,"Diamond",'09_재화흐름'!$I$5:$I$16)/7</f>
        <v>-0.98635541673516358</v>
      </c>
      <c r="I16" s="14">
        <f>SUMIF('09_재화흐름'!$A$5:$A$16,"Energy",'09_재화흐름'!$I$5:$I$16)/7</f>
        <v>2.7559523809523805</v>
      </c>
      <c r="J16" s="14">
        <f>SUMIF('09_재화흐름'!$A$5:$A$16,"Shard",'09_재화흐름'!$I$5:$I$16)/7</f>
        <v>1.0488095238095241</v>
      </c>
      <c r="K16" s="14">
        <f>SUMIF('09_재화흐름'!$A$5:$A$16,"CardFood",'09_재화흐름'!$I$5:$I$16)/7</f>
        <v>0.68571428571428583</v>
      </c>
    </row>
    <row r="17" spans="1:11" x14ac:dyDescent="0.3">
      <c r="A17" s="18">
        <v>12</v>
      </c>
      <c r="B17" s="14">
        <f t="shared" si="0"/>
        <v>992.85714285714266</v>
      </c>
      <c r="C17" s="14">
        <f t="shared" si="1"/>
        <v>88.163734999178018</v>
      </c>
      <c r="D17" s="14">
        <f t="shared" si="2"/>
        <v>33.071428571428562</v>
      </c>
      <c r="E17" s="14">
        <f t="shared" si="3"/>
        <v>12.585714285714289</v>
      </c>
      <c r="F17" s="14">
        <f t="shared" si="4"/>
        <v>8.2285714285714295</v>
      </c>
      <c r="G17" s="14">
        <f>SUMIF('09_재화흐름'!$A$5:$A$16,"Gold",'09_재화흐름'!$I$5:$I$16)/7</f>
        <v>41.071428571428569</v>
      </c>
      <c r="H17" s="14">
        <f>SUMIF('09_재화흐름'!$A$5:$A$16,"Diamond",'09_재화흐름'!$I$5:$I$16)/7</f>
        <v>-0.98635541673516358</v>
      </c>
      <c r="I17" s="14">
        <f>SUMIF('09_재화흐름'!$A$5:$A$16,"Energy",'09_재화흐름'!$I$5:$I$16)/7</f>
        <v>2.7559523809523805</v>
      </c>
      <c r="J17" s="14">
        <f>SUMIF('09_재화흐름'!$A$5:$A$16,"Shard",'09_재화흐름'!$I$5:$I$16)/7</f>
        <v>1.0488095238095241</v>
      </c>
      <c r="K17" s="14">
        <f>SUMIF('09_재화흐름'!$A$5:$A$16,"CardFood",'09_재화흐름'!$I$5:$I$16)/7</f>
        <v>0.68571428571428583</v>
      </c>
    </row>
    <row r="18" spans="1:11" x14ac:dyDescent="0.3">
      <c r="A18" s="18">
        <v>13</v>
      </c>
      <c r="B18" s="14">
        <f t="shared" si="0"/>
        <v>1033.9285714285713</v>
      </c>
      <c r="C18" s="14">
        <f t="shared" si="1"/>
        <v>87.177379582442853</v>
      </c>
      <c r="D18" s="14">
        <f t="shared" si="2"/>
        <v>35.827380952380942</v>
      </c>
      <c r="E18" s="14">
        <f t="shared" si="3"/>
        <v>13.634523809523813</v>
      </c>
      <c r="F18" s="14">
        <f t="shared" si="4"/>
        <v>8.9142857142857146</v>
      </c>
      <c r="G18" s="14">
        <f>SUMIF('09_재화흐름'!$A$5:$A$16,"Gold",'09_재화흐름'!$I$5:$I$16)/7</f>
        <v>41.071428571428569</v>
      </c>
      <c r="H18" s="14">
        <f>SUMIF('09_재화흐름'!$A$5:$A$16,"Diamond",'09_재화흐름'!$I$5:$I$16)/7</f>
        <v>-0.98635541673516358</v>
      </c>
      <c r="I18" s="14">
        <f>SUMIF('09_재화흐름'!$A$5:$A$16,"Energy",'09_재화흐름'!$I$5:$I$16)/7</f>
        <v>2.7559523809523805</v>
      </c>
      <c r="J18" s="14">
        <f>SUMIF('09_재화흐름'!$A$5:$A$16,"Shard",'09_재화흐름'!$I$5:$I$16)/7</f>
        <v>1.0488095238095241</v>
      </c>
      <c r="K18" s="14">
        <f>SUMIF('09_재화흐름'!$A$5:$A$16,"CardFood",'09_재화흐름'!$I$5:$I$16)/7</f>
        <v>0.68571428571428583</v>
      </c>
    </row>
    <row r="19" spans="1:11" x14ac:dyDescent="0.3">
      <c r="A19" s="18">
        <v>14</v>
      </c>
      <c r="B19" s="14">
        <f t="shared" si="0"/>
        <v>1075</v>
      </c>
      <c r="C19" s="14">
        <f t="shared" si="1"/>
        <v>86.191024165707688</v>
      </c>
      <c r="D19" s="14">
        <f t="shared" si="2"/>
        <v>38.583333333333321</v>
      </c>
      <c r="E19" s="14">
        <f t="shared" si="3"/>
        <v>14.683333333333337</v>
      </c>
      <c r="F19" s="14">
        <f t="shared" si="4"/>
        <v>9.6</v>
      </c>
      <c r="G19" s="14">
        <f>SUMIF('09_재화흐름'!$A$5:$A$16,"Gold",'09_재화흐름'!$I$5:$I$16)/7</f>
        <v>41.071428571428569</v>
      </c>
      <c r="H19" s="14">
        <f>SUMIF('09_재화흐름'!$A$5:$A$16,"Diamond",'09_재화흐름'!$I$5:$I$16)/7</f>
        <v>-0.98635541673516358</v>
      </c>
      <c r="I19" s="14">
        <f>SUMIF('09_재화흐름'!$A$5:$A$16,"Energy",'09_재화흐름'!$I$5:$I$16)/7</f>
        <v>2.7559523809523805</v>
      </c>
      <c r="J19" s="14">
        <f>SUMIF('09_재화흐름'!$A$5:$A$16,"Shard",'09_재화흐름'!$I$5:$I$16)/7</f>
        <v>1.0488095238095241</v>
      </c>
      <c r="K19" s="14">
        <f>SUMIF('09_재화흐름'!$A$5:$A$16,"CardFood",'09_재화흐름'!$I$5:$I$16)/7</f>
        <v>0.68571428571428583</v>
      </c>
    </row>
    <row r="20" spans="1:11" x14ac:dyDescent="0.3">
      <c r="A20" s="18">
        <v>15</v>
      </c>
      <c r="B20" s="14">
        <f t="shared" si="0"/>
        <v>1116.0714285714287</v>
      </c>
      <c r="C20" s="14">
        <f t="shared" si="1"/>
        <v>85.204668748972523</v>
      </c>
      <c r="D20" s="14">
        <f t="shared" si="2"/>
        <v>41.339285714285701</v>
      </c>
      <c r="E20" s="14">
        <f t="shared" si="3"/>
        <v>15.732142857142861</v>
      </c>
      <c r="F20" s="14">
        <f t="shared" si="4"/>
        <v>10.285714285714285</v>
      </c>
      <c r="G20" s="14">
        <f>SUMIF('09_재화흐름'!$A$5:$A$16,"Gold",'09_재화흐름'!$I$5:$I$16)/7</f>
        <v>41.071428571428569</v>
      </c>
      <c r="H20" s="14">
        <f>SUMIF('09_재화흐름'!$A$5:$A$16,"Diamond",'09_재화흐름'!$I$5:$I$16)/7</f>
        <v>-0.98635541673516358</v>
      </c>
      <c r="I20" s="14">
        <f>SUMIF('09_재화흐름'!$A$5:$A$16,"Energy",'09_재화흐름'!$I$5:$I$16)/7</f>
        <v>2.7559523809523805</v>
      </c>
      <c r="J20" s="14">
        <f>SUMIF('09_재화흐름'!$A$5:$A$16,"Shard",'09_재화흐름'!$I$5:$I$16)/7</f>
        <v>1.0488095238095241</v>
      </c>
      <c r="K20" s="14">
        <f>SUMIF('09_재화흐름'!$A$5:$A$16,"CardFood",'09_재화흐름'!$I$5:$I$16)/7</f>
        <v>0.68571428571428583</v>
      </c>
    </row>
    <row r="21" spans="1:11" x14ac:dyDescent="0.3">
      <c r="A21" s="18">
        <v>16</v>
      </c>
      <c r="B21" s="14">
        <f t="shared" si="0"/>
        <v>1157.1428571428573</v>
      </c>
      <c r="C21" s="14">
        <f t="shared" si="1"/>
        <v>84.218313332237358</v>
      </c>
      <c r="D21" s="14">
        <f t="shared" si="2"/>
        <v>44.095238095238081</v>
      </c>
      <c r="E21" s="14">
        <f t="shared" si="3"/>
        <v>16.780952380952385</v>
      </c>
      <c r="F21" s="14">
        <f t="shared" si="4"/>
        <v>10.97142857142857</v>
      </c>
      <c r="G21" s="14">
        <f>SUMIF('09_재화흐름'!$A$5:$A$16,"Gold",'09_재화흐름'!$I$5:$I$16)/7</f>
        <v>41.071428571428569</v>
      </c>
      <c r="H21" s="14">
        <f>SUMIF('09_재화흐름'!$A$5:$A$16,"Diamond",'09_재화흐름'!$I$5:$I$16)/7</f>
        <v>-0.98635541673516358</v>
      </c>
      <c r="I21" s="14">
        <f>SUMIF('09_재화흐름'!$A$5:$A$16,"Energy",'09_재화흐름'!$I$5:$I$16)/7</f>
        <v>2.7559523809523805</v>
      </c>
      <c r="J21" s="14">
        <f>SUMIF('09_재화흐름'!$A$5:$A$16,"Shard",'09_재화흐름'!$I$5:$I$16)/7</f>
        <v>1.0488095238095241</v>
      </c>
      <c r="K21" s="14">
        <f>SUMIF('09_재화흐름'!$A$5:$A$16,"CardFood",'09_재화흐름'!$I$5:$I$16)/7</f>
        <v>0.68571428571428583</v>
      </c>
    </row>
    <row r="22" spans="1:11" x14ac:dyDescent="0.3">
      <c r="A22" s="18">
        <v>17</v>
      </c>
      <c r="B22" s="14">
        <f t="shared" si="0"/>
        <v>1198.214285714286</v>
      </c>
      <c r="C22" s="14">
        <f t="shared" si="1"/>
        <v>83.231957915502193</v>
      </c>
      <c r="D22" s="14">
        <f t="shared" si="2"/>
        <v>46.85119047619046</v>
      </c>
      <c r="E22" s="14">
        <f t="shared" si="3"/>
        <v>17.829761904761909</v>
      </c>
      <c r="F22" s="14">
        <f t="shared" si="4"/>
        <v>11.657142857142855</v>
      </c>
      <c r="G22" s="14">
        <f>SUMIF('09_재화흐름'!$A$5:$A$16,"Gold",'09_재화흐름'!$I$5:$I$16)/7</f>
        <v>41.071428571428569</v>
      </c>
      <c r="H22" s="14">
        <f>SUMIF('09_재화흐름'!$A$5:$A$16,"Diamond",'09_재화흐름'!$I$5:$I$16)/7</f>
        <v>-0.98635541673516358</v>
      </c>
      <c r="I22" s="14">
        <f>SUMIF('09_재화흐름'!$A$5:$A$16,"Energy",'09_재화흐름'!$I$5:$I$16)/7</f>
        <v>2.7559523809523805</v>
      </c>
      <c r="J22" s="14">
        <f>SUMIF('09_재화흐름'!$A$5:$A$16,"Shard",'09_재화흐름'!$I$5:$I$16)/7</f>
        <v>1.0488095238095241</v>
      </c>
      <c r="K22" s="14">
        <f>SUMIF('09_재화흐름'!$A$5:$A$16,"CardFood",'09_재화흐름'!$I$5:$I$16)/7</f>
        <v>0.68571428571428583</v>
      </c>
    </row>
    <row r="23" spans="1:11" x14ac:dyDescent="0.3">
      <c r="A23" s="18">
        <v>18</v>
      </c>
      <c r="B23" s="14">
        <f t="shared" si="0"/>
        <v>1239.2857142857147</v>
      </c>
      <c r="C23" s="14">
        <f t="shared" si="1"/>
        <v>82.245602498767028</v>
      </c>
      <c r="D23" s="14">
        <f t="shared" si="2"/>
        <v>49.60714285714284</v>
      </c>
      <c r="E23" s="14">
        <f t="shared" si="3"/>
        <v>18.878571428571433</v>
      </c>
      <c r="F23" s="14">
        <f t="shared" si="4"/>
        <v>12.34285714285714</v>
      </c>
      <c r="G23" s="14">
        <f>SUMIF('09_재화흐름'!$A$5:$A$16,"Gold",'09_재화흐름'!$I$5:$I$16)/7</f>
        <v>41.071428571428569</v>
      </c>
      <c r="H23" s="14">
        <f>SUMIF('09_재화흐름'!$A$5:$A$16,"Diamond",'09_재화흐름'!$I$5:$I$16)/7</f>
        <v>-0.98635541673516358</v>
      </c>
      <c r="I23" s="14">
        <f>SUMIF('09_재화흐름'!$A$5:$A$16,"Energy",'09_재화흐름'!$I$5:$I$16)/7</f>
        <v>2.7559523809523805</v>
      </c>
      <c r="J23" s="14">
        <f>SUMIF('09_재화흐름'!$A$5:$A$16,"Shard",'09_재화흐름'!$I$5:$I$16)/7</f>
        <v>1.0488095238095241</v>
      </c>
      <c r="K23" s="14">
        <f>SUMIF('09_재화흐름'!$A$5:$A$16,"CardFood",'09_재화흐름'!$I$5:$I$16)/7</f>
        <v>0.68571428571428583</v>
      </c>
    </row>
    <row r="24" spans="1:11" x14ac:dyDescent="0.3">
      <c r="A24" s="18">
        <v>19</v>
      </c>
      <c r="B24" s="14">
        <f t="shared" si="0"/>
        <v>1280.3571428571433</v>
      </c>
      <c r="C24" s="14">
        <f t="shared" si="1"/>
        <v>81.259247082031862</v>
      </c>
      <c r="D24" s="14">
        <f t="shared" si="2"/>
        <v>52.363095238095219</v>
      </c>
      <c r="E24" s="14">
        <f t="shared" si="3"/>
        <v>19.927380952380958</v>
      </c>
      <c r="F24" s="14">
        <f t="shared" si="4"/>
        <v>13.028571428571425</v>
      </c>
      <c r="G24" s="14">
        <f>SUMIF('09_재화흐름'!$A$5:$A$16,"Gold",'09_재화흐름'!$I$5:$I$16)/7</f>
        <v>41.071428571428569</v>
      </c>
      <c r="H24" s="14">
        <f>SUMIF('09_재화흐름'!$A$5:$A$16,"Diamond",'09_재화흐름'!$I$5:$I$16)/7</f>
        <v>-0.98635541673516358</v>
      </c>
      <c r="I24" s="14">
        <f>SUMIF('09_재화흐름'!$A$5:$A$16,"Energy",'09_재화흐름'!$I$5:$I$16)/7</f>
        <v>2.7559523809523805</v>
      </c>
      <c r="J24" s="14">
        <f>SUMIF('09_재화흐름'!$A$5:$A$16,"Shard",'09_재화흐름'!$I$5:$I$16)/7</f>
        <v>1.0488095238095241</v>
      </c>
      <c r="K24" s="14">
        <f>SUMIF('09_재화흐름'!$A$5:$A$16,"CardFood",'09_재화흐름'!$I$5:$I$16)/7</f>
        <v>0.68571428571428583</v>
      </c>
    </row>
    <row r="25" spans="1:11" x14ac:dyDescent="0.3">
      <c r="A25" s="18">
        <v>20</v>
      </c>
      <c r="B25" s="14">
        <f t="shared" si="0"/>
        <v>1321.428571428572</v>
      </c>
      <c r="C25" s="14">
        <f t="shared" si="1"/>
        <v>80.272891665296697</v>
      </c>
      <c r="D25" s="14">
        <f t="shared" si="2"/>
        <v>55.119047619047599</v>
      </c>
      <c r="E25" s="14">
        <f t="shared" si="3"/>
        <v>20.976190476190482</v>
      </c>
      <c r="F25" s="14">
        <f t="shared" si="4"/>
        <v>13.71428571428571</v>
      </c>
      <c r="G25" s="14">
        <f>SUMIF('09_재화흐름'!$A$5:$A$16,"Gold",'09_재화흐름'!$I$5:$I$16)/7</f>
        <v>41.071428571428569</v>
      </c>
      <c r="H25" s="14">
        <f>SUMIF('09_재화흐름'!$A$5:$A$16,"Diamond",'09_재화흐름'!$I$5:$I$16)/7</f>
        <v>-0.98635541673516358</v>
      </c>
      <c r="I25" s="14">
        <f>SUMIF('09_재화흐름'!$A$5:$A$16,"Energy",'09_재화흐름'!$I$5:$I$16)/7</f>
        <v>2.7559523809523805</v>
      </c>
      <c r="J25" s="14">
        <f>SUMIF('09_재화흐름'!$A$5:$A$16,"Shard",'09_재화흐름'!$I$5:$I$16)/7</f>
        <v>1.0488095238095241</v>
      </c>
      <c r="K25" s="14">
        <f>SUMIF('09_재화흐름'!$A$5:$A$16,"CardFood",'09_재화흐름'!$I$5:$I$16)/7</f>
        <v>0.68571428571428583</v>
      </c>
    </row>
    <row r="26" spans="1:11" x14ac:dyDescent="0.3">
      <c r="A26" s="18">
        <v>21</v>
      </c>
      <c r="B26" s="14">
        <f t="shared" si="0"/>
        <v>1362.5000000000007</v>
      </c>
      <c r="C26" s="14">
        <f t="shared" si="1"/>
        <v>79.286536248561532</v>
      </c>
      <c r="D26" s="14">
        <f t="shared" si="2"/>
        <v>57.874999999999979</v>
      </c>
      <c r="E26" s="14">
        <f t="shared" si="3"/>
        <v>22.025000000000006</v>
      </c>
      <c r="F26" s="14">
        <f t="shared" si="4"/>
        <v>14.399999999999995</v>
      </c>
      <c r="G26" s="14">
        <f>SUMIF('09_재화흐름'!$A$5:$A$16,"Gold",'09_재화흐름'!$I$5:$I$16)/7</f>
        <v>41.071428571428569</v>
      </c>
      <c r="H26" s="14">
        <f>SUMIF('09_재화흐름'!$A$5:$A$16,"Diamond",'09_재화흐름'!$I$5:$I$16)/7</f>
        <v>-0.98635541673516358</v>
      </c>
      <c r="I26" s="14">
        <f>SUMIF('09_재화흐름'!$A$5:$A$16,"Energy",'09_재화흐름'!$I$5:$I$16)/7</f>
        <v>2.7559523809523805</v>
      </c>
      <c r="J26" s="14">
        <f>SUMIF('09_재화흐름'!$A$5:$A$16,"Shard",'09_재화흐름'!$I$5:$I$16)/7</f>
        <v>1.0488095238095241</v>
      </c>
      <c r="K26" s="14">
        <f>SUMIF('09_재화흐름'!$A$5:$A$16,"CardFood",'09_재화흐름'!$I$5:$I$16)/7</f>
        <v>0.68571428571428583</v>
      </c>
    </row>
    <row r="27" spans="1:11" x14ac:dyDescent="0.3">
      <c r="A27" s="18">
        <v>22</v>
      </c>
      <c r="B27" s="14">
        <f t="shared" si="0"/>
        <v>1403.5714285714294</v>
      </c>
      <c r="C27" s="14">
        <f t="shared" si="1"/>
        <v>78.300180831826367</v>
      </c>
      <c r="D27" s="14">
        <f t="shared" si="2"/>
        <v>60.630952380952358</v>
      </c>
      <c r="E27" s="14">
        <f t="shared" si="3"/>
        <v>23.07380952380953</v>
      </c>
      <c r="F27" s="14">
        <f t="shared" si="4"/>
        <v>15.08571428571428</v>
      </c>
      <c r="G27" s="14">
        <f>SUMIF('09_재화흐름'!$A$5:$A$16,"Gold",'09_재화흐름'!$I$5:$I$16)/7</f>
        <v>41.071428571428569</v>
      </c>
      <c r="H27" s="14">
        <f>SUMIF('09_재화흐름'!$A$5:$A$16,"Diamond",'09_재화흐름'!$I$5:$I$16)/7</f>
        <v>-0.98635541673516358</v>
      </c>
      <c r="I27" s="14">
        <f>SUMIF('09_재화흐름'!$A$5:$A$16,"Energy",'09_재화흐름'!$I$5:$I$16)/7</f>
        <v>2.7559523809523805</v>
      </c>
      <c r="J27" s="14">
        <f>SUMIF('09_재화흐름'!$A$5:$A$16,"Shard",'09_재화흐름'!$I$5:$I$16)/7</f>
        <v>1.0488095238095241</v>
      </c>
      <c r="K27" s="14">
        <f>SUMIF('09_재화흐름'!$A$5:$A$16,"CardFood",'09_재화흐름'!$I$5:$I$16)/7</f>
        <v>0.68571428571428583</v>
      </c>
    </row>
    <row r="28" spans="1:11" x14ac:dyDescent="0.3">
      <c r="A28" s="18">
        <v>23</v>
      </c>
      <c r="B28" s="14">
        <f t="shared" si="0"/>
        <v>1444.642857142858</v>
      </c>
      <c r="C28" s="14">
        <f t="shared" si="1"/>
        <v>77.313825415091202</v>
      </c>
      <c r="D28" s="14">
        <f t="shared" si="2"/>
        <v>63.386904761904738</v>
      </c>
      <c r="E28" s="14">
        <f t="shared" si="3"/>
        <v>24.122619047619054</v>
      </c>
      <c r="F28" s="14">
        <f t="shared" si="4"/>
        <v>15.771428571428565</v>
      </c>
      <c r="G28" s="14">
        <f>SUMIF('09_재화흐름'!$A$5:$A$16,"Gold",'09_재화흐름'!$I$5:$I$16)/7</f>
        <v>41.071428571428569</v>
      </c>
      <c r="H28" s="14">
        <f>SUMIF('09_재화흐름'!$A$5:$A$16,"Diamond",'09_재화흐름'!$I$5:$I$16)/7</f>
        <v>-0.98635541673516358</v>
      </c>
      <c r="I28" s="14">
        <f>SUMIF('09_재화흐름'!$A$5:$A$16,"Energy",'09_재화흐름'!$I$5:$I$16)/7</f>
        <v>2.7559523809523805</v>
      </c>
      <c r="J28" s="14">
        <f>SUMIF('09_재화흐름'!$A$5:$A$16,"Shard",'09_재화흐름'!$I$5:$I$16)/7</f>
        <v>1.0488095238095241</v>
      </c>
      <c r="K28" s="14">
        <f>SUMIF('09_재화흐름'!$A$5:$A$16,"CardFood",'09_재화흐름'!$I$5:$I$16)/7</f>
        <v>0.68571428571428583</v>
      </c>
    </row>
    <row r="29" spans="1:11" x14ac:dyDescent="0.3">
      <c r="A29" s="18">
        <v>24</v>
      </c>
      <c r="B29" s="14">
        <f t="shared" si="0"/>
        <v>1485.7142857142867</v>
      </c>
      <c r="C29" s="14">
        <f t="shared" si="1"/>
        <v>76.327469998356037</v>
      </c>
      <c r="D29" s="14">
        <f t="shared" si="2"/>
        <v>66.142857142857125</v>
      </c>
      <c r="E29" s="14">
        <f t="shared" si="3"/>
        <v>25.171428571428578</v>
      </c>
      <c r="F29" s="14">
        <f t="shared" si="4"/>
        <v>16.457142857142852</v>
      </c>
      <c r="G29" s="14">
        <f>SUMIF('09_재화흐름'!$A$5:$A$16,"Gold",'09_재화흐름'!$I$5:$I$16)/7</f>
        <v>41.071428571428569</v>
      </c>
      <c r="H29" s="14">
        <f>SUMIF('09_재화흐름'!$A$5:$A$16,"Diamond",'09_재화흐름'!$I$5:$I$16)/7</f>
        <v>-0.98635541673516358</v>
      </c>
      <c r="I29" s="14">
        <f>SUMIF('09_재화흐름'!$A$5:$A$16,"Energy",'09_재화흐름'!$I$5:$I$16)/7</f>
        <v>2.7559523809523805</v>
      </c>
      <c r="J29" s="14">
        <f>SUMIF('09_재화흐름'!$A$5:$A$16,"Shard",'09_재화흐름'!$I$5:$I$16)/7</f>
        <v>1.0488095238095241</v>
      </c>
      <c r="K29" s="14">
        <f>SUMIF('09_재화흐름'!$A$5:$A$16,"CardFood",'09_재화흐름'!$I$5:$I$16)/7</f>
        <v>0.68571428571428583</v>
      </c>
    </row>
    <row r="30" spans="1:11" x14ac:dyDescent="0.3">
      <c r="A30" s="18">
        <v>25</v>
      </c>
      <c r="B30" s="14">
        <f t="shared" si="0"/>
        <v>1526.7857142857154</v>
      </c>
      <c r="C30" s="14">
        <f t="shared" si="1"/>
        <v>75.341114581620872</v>
      </c>
      <c r="D30" s="14">
        <f t="shared" si="2"/>
        <v>68.898809523809504</v>
      </c>
      <c r="E30" s="14">
        <f t="shared" si="3"/>
        <v>26.220238095238102</v>
      </c>
      <c r="F30" s="14">
        <f t="shared" si="4"/>
        <v>17.142857142857139</v>
      </c>
      <c r="G30" s="14">
        <f>SUMIF('09_재화흐름'!$A$5:$A$16,"Gold",'09_재화흐름'!$I$5:$I$16)/7</f>
        <v>41.071428571428569</v>
      </c>
      <c r="H30" s="14">
        <f>SUMIF('09_재화흐름'!$A$5:$A$16,"Diamond",'09_재화흐름'!$I$5:$I$16)/7</f>
        <v>-0.98635541673516358</v>
      </c>
      <c r="I30" s="14">
        <f>SUMIF('09_재화흐름'!$A$5:$A$16,"Energy",'09_재화흐름'!$I$5:$I$16)/7</f>
        <v>2.7559523809523805</v>
      </c>
      <c r="J30" s="14">
        <f>SUMIF('09_재화흐름'!$A$5:$A$16,"Shard",'09_재화흐름'!$I$5:$I$16)/7</f>
        <v>1.0488095238095241</v>
      </c>
      <c r="K30" s="14">
        <f>SUMIF('09_재화흐름'!$A$5:$A$16,"CardFood",'09_재화흐름'!$I$5:$I$16)/7</f>
        <v>0.68571428571428583</v>
      </c>
    </row>
    <row r="31" spans="1:11" x14ac:dyDescent="0.3">
      <c r="A31" s="18">
        <v>26</v>
      </c>
      <c r="B31" s="14">
        <f t="shared" si="0"/>
        <v>1567.857142857144</v>
      </c>
      <c r="C31" s="14">
        <f t="shared" si="1"/>
        <v>74.354759164885706</v>
      </c>
      <c r="D31" s="14">
        <f t="shared" si="2"/>
        <v>71.654761904761884</v>
      </c>
      <c r="E31" s="14">
        <f t="shared" si="3"/>
        <v>27.269047619047626</v>
      </c>
      <c r="F31" s="14">
        <f t="shared" si="4"/>
        <v>17.828571428571426</v>
      </c>
      <c r="G31" s="14">
        <f>SUMIF('09_재화흐름'!$A$5:$A$16,"Gold",'09_재화흐름'!$I$5:$I$16)/7</f>
        <v>41.071428571428569</v>
      </c>
      <c r="H31" s="14">
        <f>SUMIF('09_재화흐름'!$A$5:$A$16,"Diamond",'09_재화흐름'!$I$5:$I$16)/7</f>
        <v>-0.98635541673516358</v>
      </c>
      <c r="I31" s="14">
        <f>SUMIF('09_재화흐름'!$A$5:$A$16,"Energy",'09_재화흐름'!$I$5:$I$16)/7</f>
        <v>2.7559523809523805</v>
      </c>
      <c r="J31" s="14">
        <f>SUMIF('09_재화흐름'!$A$5:$A$16,"Shard",'09_재화흐름'!$I$5:$I$16)/7</f>
        <v>1.0488095238095241</v>
      </c>
      <c r="K31" s="14">
        <f>SUMIF('09_재화흐름'!$A$5:$A$16,"CardFood",'09_재화흐름'!$I$5:$I$16)/7</f>
        <v>0.68571428571428583</v>
      </c>
    </row>
    <row r="32" spans="1:11" x14ac:dyDescent="0.3">
      <c r="A32" s="18">
        <v>27</v>
      </c>
      <c r="B32" s="14">
        <f t="shared" si="0"/>
        <v>1608.9285714285727</v>
      </c>
      <c r="C32" s="14">
        <f t="shared" si="1"/>
        <v>73.368403748150541</v>
      </c>
      <c r="D32" s="14">
        <f t="shared" si="2"/>
        <v>74.410714285714263</v>
      </c>
      <c r="E32" s="14">
        <f t="shared" si="3"/>
        <v>28.31785714285715</v>
      </c>
      <c r="F32" s="14">
        <f t="shared" si="4"/>
        <v>18.514285714285712</v>
      </c>
      <c r="G32" s="14">
        <f>SUMIF('09_재화흐름'!$A$5:$A$16,"Gold",'09_재화흐름'!$I$5:$I$16)/7</f>
        <v>41.071428571428569</v>
      </c>
      <c r="H32" s="14">
        <f>SUMIF('09_재화흐름'!$A$5:$A$16,"Diamond",'09_재화흐름'!$I$5:$I$16)/7</f>
        <v>-0.98635541673516358</v>
      </c>
      <c r="I32" s="14">
        <f>SUMIF('09_재화흐름'!$A$5:$A$16,"Energy",'09_재화흐름'!$I$5:$I$16)/7</f>
        <v>2.7559523809523805</v>
      </c>
      <c r="J32" s="14">
        <f>SUMIF('09_재화흐름'!$A$5:$A$16,"Shard",'09_재화흐름'!$I$5:$I$16)/7</f>
        <v>1.0488095238095241</v>
      </c>
      <c r="K32" s="14">
        <f>SUMIF('09_재화흐름'!$A$5:$A$16,"CardFood",'09_재화흐름'!$I$5:$I$16)/7</f>
        <v>0.68571428571428583</v>
      </c>
    </row>
    <row r="33" spans="1:11" x14ac:dyDescent="0.3">
      <c r="A33" s="18">
        <v>28</v>
      </c>
      <c r="B33" s="14">
        <f t="shared" si="0"/>
        <v>1650.0000000000014</v>
      </c>
      <c r="C33" s="14">
        <f t="shared" si="1"/>
        <v>72.382048331415376</v>
      </c>
      <c r="D33" s="14">
        <f t="shared" si="2"/>
        <v>77.166666666666643</v>
      </c>
      <c r="E33" s="14">
        <f t="shared" si="3"/>
        <v>29.366666666666674</v>
      </c>
      <c r="F33" s="14">
        <f t="shared" si="4"/>
        <v>19.2</v>
      </c>
      <c r="G33" s="14">
        <f>SUMIF('09_재화흐름'!$A$5:$A$16,"Gold",'09_재화흐름'!$I$5:$I$16)/7</f>
        <v>41.071428571428569</v>
      </c>
      <c r="H33" s="14">
        <f>SUMIF('09_재화흐름'!$A$5:$A$16,"Diamond",'09_재화흐름'!$I$5:$I$16)/7</f>
        <v>-0.98635541673516358</v>
      </c>
      <c r="I33" s="14">
        <f>SUMIF('09_재화흐름'!$A$5:$A$16,"Energy",'09_재화흐름'!$I$5:$I$16)/7</f>
        <v>2.7559523809523805</v>
      </c>
      <c r="J33" s="14">
        <f>SUMIF('09_재화흐름'!$A$5:$A$16,"Shard",'09_재화흐름'!$I$5:$I$16)/7</f>
        <v>1.0488095238095241</v>
      </c>
      <c r="K33" s="14">
        <f>SUMIF('09_재화흐름'!$A$5:$A$16,"CardFood",'09_재화흐름'!$I$5:$I$16)/7</f>
        <v>0.68571428571428583</v>
      </c>
    </row>
    <row r="34" spans="1:11" x14ac:dyDescent="0.3">
      <c r="A34" s="18">
        <v>29</v>
      </c>
      <c r="B34" s="14">
        <f t="shared" si="0"/>
        <v>1691.07142857143</v>
      </c>
      <c r="C34" s="14">
        <f t="shared" si="1"/>
        <v>71.395692914680211</v>
      </c>
      <c r="D34" s="14">
        <f t="shared" si="2"/>
        <v>79.922619047619023</v>
      </c>
      <c r="E34" s="14">
        <f t="shared" si="3"/>
        <v>30.415476190476198</v>
      </c>
      <c r="F34" s="14">
        <f t="shared" si="4"/>
        <v>19.885714285714286</v>
      </c>
      <c r="G34" s="14">
        <f>SUMIF('09_재화흐름'!$A$5:$A$16,"Gold",'09_재화흐름'!$I$5:$I$16)/7</f>
        <v>41.071428571428569</v>
      </c>
      <c r="H34" s="14">
        <f>SUMIF('09_재화흐름'!$A$5:$A$16,"Diamond",'09_재화흐름'!$I$5:$I$16)/7</f>
        <v>-0.98635541673516358</v>
      </c>
      <c r="I34" s="14">
        <f>SUMIF('09_재화흐름'!$A$5:$A$16,"Energy",'09_재화흐름'!$I$5:$I$16)/7</f>
        <v>2.7559523809523805</v>
      </c>
      <c r="J34" s="14">
        <f>SUMIF('09_재화흐름'!$A$5:$A$16,"Shard",'09_재화흐름'!$I$5:$I$16)/7</f>
        <v>1.0488095238095241</v>
      </c>
      <c r="K34" s="14">
        <f>SUMIF('09_재화흐름'!$A$5:$A$16,"CardFood",'09_재화흐름'!$I$5:$I$16)/7</f>
        <v>0.68571428571428583</v>
      </c>
    </row>
    <row r="35" spans="1:11" x14ac:dyDescent="0.3">
      <c r="A35" s="18">
        <v>30</v>
      </c>
      <c r="B35" s="14">
        <f t="shared" si="0"/>
        <v>1732.1428571428587</v>
      </c>
      <c r="C35" s="14">
        <f t="shared" si="1"/>
        <v>70.409337497945046</v>
      </c>
      <c r="D35" s="14">
        <f t="shared" si="2"/>
        <v>82.678571428571402</v>
      </c>
      <c r="E35" s="14">
        <f t="shared" si="3"/>
        <v>31.464285714285722</v>
      </c>
      <c r="F35" s="14">
        <f t="shared" si="4"/>
        <v>20.571428571428573</v>
      </c>
      <c r="G35" s="14">
        <f>SUMIF('09_재화흐름'!$A$5:$A$16,"Gold",'09_재화흐름'!$I$5:$I$16)/7</f>
        <v>41.071428571428569</v>
      </c>
      <c r="H35" s="14">
        <f>SUMIF('09_재화흐름'!$A$5:$A$16,"Diamond",'09_재화흐름'!$I$5:$I$16)/7</f>
        <v>-0.98635541673516358</v>
      </c>
      <c r="I35" s="14">
        <f>SUMIF('09_재화흐름'!$A$5:$A$16,"Energy",'09_재화흐름'!$I$5:$I$16)/7</f>
        <v>2.7559523809523805</v>
      </c>
      <c r="J35" s="14">
        <f>SUMIF('09_재화흐름'!$A$5:$A$16,"Shard",'09_재화흐름'!$I$5:$I$16)/7</f>
        <v>1.0488095238095241</v>
      </c>
      <c r="K35" s="14">
        <f>SUMIF('09_재화흐름'!$A$5:$A$16,"CardFood",'09_재화흐름'!$I$5:$I$16)/7</f>
        <v>0.68571428571428583</v>
      </c>
    </row>
  </sheetData>
  <mergeCells count="2">
    <mergeCell ref="A1:J1"/>
    <mergeCell ref="A2:J2"/>
  </mergeCells>
  <phoneticPr fontId="7" type="noConversion"/>
  <conditionalFormatting sqref="B5:F35">
    <cfRule type="cellIs" dxfId="4" priority="1" operator="lessThan">
      <formula>0</formula>
    </cfRule>
  </conditionalFormatting>
  <printOptions horizontalCentered="1"/>
  <pageMargins left="0.75" right="0.75" top="1" bottom="1" header="0.5" footer="0.5"/>
  <pageSetup scale="64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AD47"/>
    <pageSetUpPr fitToPage="1"/>
  </sheetPr>
  <dimension ref="A1:J9"/>
  <sheetViews>
    <sheetView showGridLines="0" zoomScale="90" workbookViewId="0">
      <pane ySplit="4" topLeftCell="A5" activePane="bottomLeft" state="frozen"/>
      <selection pane="bottomLeft"/>
    </sheetView>
  </sheetViews>
  <sheetFormatPr defaultRowHeight="16.5" x14ac:dyDescent="0.3"/>
  <cols>
    <col min="1" max="5" width="16" customWidth="1"/>
    <col min="6" max="6" width="18" customWidth="1"/>
    <col min="7" max="7" width="16" customWidth="1"/>
    <col min="8" max="8" width="3" customWidth="1"/>
    <col min="9" max="10" width="12" customWidth="1"/>
  </cols>
  <sheetData>
    <row r="1" spans="1:10" ht="30" customHeight="1" x14ac:dyDescent="0.3">
      <c r="A1" s="29" t="s">
        <v>329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32.1" customHeight="1" x14ac:dyDescent="0.3">
      <c r="A2" s="31" t="s">
        <v>330</v>
      </c>
      <c r="B2" s="28"/>
      <c r="C2" s="28"/>
      <c r="D2" s="28"/>
      <c r="E2" s="28"/>
      <c r="F2" s="28"/>
      <c r="G2" s="28"/>
      <c r="H2" s="28"/>
      <c r="I2" s="28"/>
      <c r="J2" s="28"/>
    </row>
    <row r="4" spans="1:10" ht="27.95" customHeight="1" x14ac:dyDescent="0.3">
      <c r="A4" s="1" t="s">
        <v>49</v>
      </c>
      <c r="B4" s="1" t="s">
        <v>331</v>
      </c>
      <c r="C4" s="1" t="s">
        <v>332</v>
      </c>
      <c r="D4" s="1" t="s">
        <v>333</v>
      </c>
      <c r="E4" s="1" t="s">
        <v>334</v>
      </c>
      <c r="F4" s="1" t="s">
        <v>335</v>
      </c>
      <c r="G4" s="1" t="s">
        <v>54</v>
      </c>
    </row>
    <row r="5" spans="1:10" x14ac:dyDescent="0.3">
      <c r="A5" s="2" t="s">
        <v>56</v>
      </c>
      <c r="B5" s="14">
        <f>SUMIFS('09_재화흐름'!$H$5:$H$16,'09_재화흐름'!$A$5:$A$16,A5,'09_재화흐름'!$B$5:$B$16,"Source")</f>
        <v>787.5</v>
      </c>
      <c r="C5" s="14">
        <f>SUMIFS('09_재화흐름'!$H$5:$H$16,'09_재화흐름'!$A$5:$A$16,A5,'09_재화흐름'!$B$5:$B$16,"Sink")</f>
        <v>500</v>
      </c>
      <c r="D5" s="14">
        <f>B5-C5</f>
        <v>287.5</v>
      </c>
      <c r="E5" s="14">
        <f>'02_공통파라미터'!$B$15</f>
        <v>500</v>
      </c>
      <c r="F5" s="14">
        <f>E5+D5/7*30</f>
        <v>1732.1428571428571</v>
      </c>
      <c r="G5" s="20" t="str">
        <f>IF(F5&lt;0,"고갈",IF(AND(B5&gt;0,C5=0),"소비처 점검","정상"))</f>
        <v>정상</v>
      </c>
    </row>
    <row r="6" spans="1:10" x14ac:dyDescent="0.3">
      <c r="A6" s="2" t="s">
        <v>134</v>
      </c>
      <c r="B6" s="14">
        <f>SUMIFS('09_재화흐름'!$H$5:$H$16,'09_재화흐름'!$A$5:$A$16,A6,'09_재화흐름'!$B$5:$B$16,"Source")</f>
        <v>0</v>
      </c>
      <c r="C6" s="14">
        <f>SUMIFS('09_재화흐름'!$H$5:$H$16,'09_재화흐름'!$A$5:$A$16,A6,'09_재화흐름'!$B$5:$B$16,"Sink")</f>
        <v>6.9044879171461453</v>
      </c>
      <c r="D6" s="14">
        <f>B6-C6</f>
        <v>-6.9044879171461453</v>
      </c>
      <c r="E6" s="14">
        <f>'02_공통파라미터'!$B$16</f>
        <v>100</v>
      </c>
      <c r="F6" s="14">
        <f>E6+D6/7*30</f>
        <v>70.409337497945089</v>
      </c>
      <c r="G6" s="20" t="str">
        <f>IF(F6&lt;0,"고갈",IF(AND(B6&gt;0,C6=0),"소비처 점검","정상"))</f>
        <v>정상</v>
      </c>
    </row>
    <row r="7" spans="1:10" x14ac:dyDescent="0.3">
      <c r="A7" s="2" t="s">
        <v>80</v>
      </c>
      <c r="B7" s="14">
        <f>SUMIFS('09_재화흐름'!$H$5:$H$16,'09_재화흐름'!$A$5:$A$16,A7,'09_재화흐름'!$B$5:$B$16,"Source")</f>
        <v>33.041666666666664</v>
      </c>
      <c r="C7" s="14">
        <f>SUMIFS('09_재화흐름'!$H$5:$H$16,'09_재화흐름'!$A$5:$A$16,A7,'09_재화흐름'!$B$5:$B$16,"Sink")</f>
        <v>13.75</v>
      </c>
      <c r="D7" s="14">
        <f>B7-C7</f>
        <v>19.291666666666664</v>
      </c>
      <c r="E7" s="14">
        <f>'02_공통파라미터'!$B$17</f>
        <v>0</v>
      </c>
      <c r="F7" s="14">
        <f>E7+D7/7*30</f>
        <v>82.678571428571416</v>
      </c>
      <c r="G7" s="20" t="str">
        <f>IF(F7&lt;0,"고갈",IF(AND(B7&gt;0,C7=0),"소비처 점검","정상"))</f>
        <v>정상</v>
      </c>
    </row>
    <row r="8" spans="1:10" x14ac:dyDescent="0.3">
      <c r="A8" s="2" t="s">
        <v>74</v>
      </c>
      <c r="B8" s="14">
        <f>SUMIFS('09_재화흐름'!$H$5:$H$16,'09_재화흐름'!$A$5:$A$16,A8,'09_재화흐름'!$B$5:$B$16,"Source")</f>
        <v>90.674999999999997</v>
      </c>
      <c r="C8" s="14">
        <f>SUMIFS('09_재화흐름'!$H$5:$H$16,'09_재화흐름'!$A$5:$A$16,A8,'09_재화흐름'!$B$5:$B$16,"Sink")</f>
        <v>83.333333333333329</v>
      </c>
      <c r="D8" s="14">
        <f>B8-C8</f>
        <v>7.3416666666666686</v>
      </c>
      <c r="E8" s="14">
        <f>'02_공통파라미터'!$B$18</f>
        <v>0</v>
      </c>
      <c r="F8" s="14">
        <f>E8+D8/7*30</f>
        <v>31.464285714285722</v>
      </c>
      <c r="G8" s="20" t="str">
        <f>IF(F8&lt;0,"고갈",IF(AND(B8&gt;0,C8=0),"소비처 점검","정상"))</f>
        <v>정상</v>
      </c>
    </row>
    <row r="9" spans="1:10" x14ac:dyDescent="0.3">
      <c r="A9" s="2" t="s">
        <v>69</v>
      </c>
      <c r="B9" s="14">
        <f>SUMIFS('09_재화흐름'!$H$5:$H$16,'09_재화흐름'!$A$5:$A$16,A9,'09_재화흐름'!$B$5:$B$16,"Source")</f>
        <v>5.4</v>
      </c>
      <c r="C9" s="14">
        <f>SUMIFS('09_재화흐름'!$H$5:$H$16,'09_재화흐름'!$A$5:$A$16,A9,'09_재화흐름'!$B$5:$B$16,"Sink")</f>
        <v>0.6</v>
      </c>
      <c r="D9" s="14">
        <f>B9-C9</f>
        <v>4.8000000000000007</v>
      </c>
      <c r="E9" s="14">
        <f>'02_공통파라미터'!$B$19</f>
        <v>0</v>
      </c>
      <c r="F9" s="14">
        <f>E9+D9/7*30</f>
        <v>20.571428571428577</v>
      </c>
      <c r="G9" s="20" t="str">
        <f>IF(F9&lt;0,"고갈",IF(AND(B9&gt;0,C9=0),"소비처 점검","정상"))</f>
        <v>정상</v>
      </c>
    </row>
  </sheetData>
  <mergeCells count="2">
    <mergeCell ref="A1:J1"/>
    <mergeCell ref="A2:J2"/>
  </mergeCells>
  <phoneticPr fontId="7" type="noConversion"/>
  <conditionalFormatting sqref="G5:G9">
    <cfRule type="expression" dxfId="3" priority="1">
      <formula>G5="정상"</formula>
    </cfRule>
    <cfRule type="expression" dxfId="2" priority="2">
      <formula>G5&lt;&gt;"정상"</formula>
    </cfRule>
  </conditionalFormatting>
  <printOptions horizontalCentered="1"/>
  <pageMargins left="0.75" right="0.75" top="1" bottom="1" header="0.5" footer="0.5"/>
  <pageSetup scale="79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4B183"/>
    <pageSetUpPr fitToPage="1"/>
  </sheetPr>
  <dimension ref="A1:J18"/>
  <sheetViews>
    <sheetView showGridLines="0" zoomScale="90" workbookViewId="0">
      <pane ySplit="4" topLeftCell="A5" activePane="bottomLeft" state="frozen"/>
      <selection pane="bottomLeft"/>
    </sheetView>
  </sheetViews>
  <sheetFormatPr defaultRowHeight="16.5" x14ac:dyDescent="0.3"/>
  <cols>
    <col min="1" max="1" width="12" customWidth="1"/>
    <col min="2" max="2" width="42" customWidth="1"/>
    <col min="3" max="3" width="14" customWidth="1"/>
    <col min="4" max="4" width="44" customWidth="1"/>
    <col min="5" max="5" width="12" customWidth="1"/>
  </cols>
  <sheetData>
    <row r="1" spans="1:10" ht="30" customHeight="1" x14ac:dyDescent="0.3">
      <c r="A1" s="29" t="s">
        <v>336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32.1" customHeight="1" x14ac:dyDescent="0.3">
      <c r="A2" s="31" t="s">
        <v>337</v>
      </c>
      <c r="B2" s="28"/>
      <c r="C2" s="28"/>
      <c r="D2" s="28"/>
      <c r="E2" s="28"/>
      <c r="F2" s="28"/>
      <c r="G2" s="28"/>
      <c r="H2" s="28"/>
      <c r="I2" s="28"/>
      <c r="J2" s="28"/>
    </row>
    <row r="4" spans="1:10" ht="27.95" customHeight="1" x14ac:dyDescent="0.3">
      <c r="A4" s="1" t="s">
        <v>338</v>
      </c>
      <c r="B4" s="1" t="s">
        <v>339</v>
      </c>
      <c r="C4" s="1" t="s">
        <v>146</v>
      </c>
      <c r="D4" s="1" t="s">
        <v>340</v>
      </c>
      <c r="E4" s="1" t="s">
        <v>341</v>
      </c>
    </row>
    <row r="5" spans="1:10" x14ac:dyDescent="0.3">
      <c r="A5" s="2" t="s">
        <v>342</v>
      </c>
      <c r="B5" s="2" t="s">
        <v>343</v>
      </c>
      <c r="C5" s="20" t="str">
        <f>IF(COUNTIF('03_게임결과보상'!$B$5:$B$6,"&lt;&gt;Gold")=0,"PASS","FAIL")</f>
        <v>PASS</v>
      </c>
      <c r="D5" s="2" t="s">
        <v>344</v>
      </c>
      <c r="E5" s="2" t="s">
        <v>345</v>
      </c>
    </row>
    <row r="6" spans="1:10" x14ac:dyDescent="0.3">
      <c r="A6" s="2" t="s">
        <v>346</v>
      </c>
      <c r="B6" s="2" t="s">
        <v>347</v>
      </c>
      <c r="C6" s="20" t="str">
        <f>IF(COUNTIFS('06_카드팩'!$F$5:$F$13,"&lt;&gt;Gold",'06_카드팩'!$F$5:$F$13,"&lt;&gt;Diamond")=0,"PASS","FAIL")</f>
        <v>PASS</v>
      </c>
      <c r="D6" s="2" t="s">
        <v>348</v>
      </c>
      <c r="E6" s="2" t="s">
        <v>345</v>
      </c>
    </row>
    <row r="7" spans="1:10" x14ac:dyDescent="0.3">
      <c r="A7" s="2" t="s">
        <v>349</v>
      </c>
      <c r="B7" s="2" t="s">
        <v>350</v>
      </c>
      <c r="C7" s="20" t="str">
        <f>IF(SUMPRODUCT(('09_재화흐름'!$A$5:$A$16="Energy")*('09_재화흐름'!$B$5:$B$16="Source")*('09_재화흐름'!$C$5:$C$16&lt;&gt;"토너먼트")*('09_재화흐름'!$C$5:$C$16&lt;&gt;"앨범"))=0,"PASS","FAIL")</f>
        <v>PASS</v>
      </c>
      <c r="D7" s="2" t="s">
        <v>351</v>
      </c>
      <c r="E7" s="2" t="s">
        <v>345</v>
      </c>
    </row>
    <row r="8" spans="1:10" x14ac:dyDescent="0.3">
      <c r="A8" s="2" t="s">
        <v>352</v>
      </c>
      <c r="B8" s="2" t="s">
        <v>353</v>
      </c>
      <c r="C8" s="20" t="str">
        <f>IF(SUMPRODUCT(('09_재화흐름'!$A$5:$A$16="Shard")*('09_재화흐름'!$B$5:$B$16="Source")*('09_재화흐름'!$C$5:$C$16&lt;&gt;"토너먼트")*('09_재화흐름'!$C$5:$C$16&lt;&gt;"앨범"))=0,"PASS","FAIL")</f>
        <v>PASS</v>
      </c>
      <c r="D8" s="2" t="s">
        <v>354</v>
      </c>
      <c r="E8" s="2" t="s">
        <v>345</v>
      </c>
    </row>
    <row r="9" spans="1:10" x14ac:dyDescent="0.3">
      <c r="A9" s="2" t="s">
        <v>355</v>
      </c>
      <c r="B9" s="2" t="s">
        <v>356</v>
      </c>
      <c r="C9" s="20" t="str">
        <f>IF(SUMPRODUCT(('09_재화흐름'!$A$5:$A$16="CardFood")*('09_재화흐름'!$B$5:$B$16="Source")*('09_재화흐름'!$C$5:$C$16&lt;&gt;"카드팩 중복"))=0,"PASS","FAIL")</f>
        <v>PASS</v>
      </c>
      <c r="D9" s="2" t="s">
        <v>357</v>
      </c>
      <c r="E9" s="2" t="s">
        <v>345</v>
      </c>
    </row>
    <row r="10" spans="1:10" x14ac:dyDescent="0.3">
      <c r="A10" s="2" t="s">
        <v>358</v>
      </c>
      <c r="B10" s="2" t="s">
        <v>359</v>
      </c>
      <c r="C10" s="20" t="str">
        <f>IF(COUNTIF('08_키워드성장'!$D$5:$D$14,"&lt;&gt;Energy")=0,"PASS","FAIL")</f>
        <v>PASS</v>
      </c>
      <c r="D10" s="2" t="s">
        <v>360</v>
      </c>
      <c r="E10" s="2" t="s">
        <v>345</v>
      </c>
    </row>
    <row r="11" spans="1:10" x14ac:dyDescent="0.3">
      <c r="A11" s="2" t="s">
        <v>361</v>
      </c>
      <c r="B11" s="2" t="s">
        <v>362</v>
      </c>
      <c r="C11" s="20" t="str">
        <f>IF(COUNTIFS('07_카드성장'!$A$5:$A$10,"강화",'07_카드성장'!$C$5:$C$10,"&lt;&gt;Shard")=0,"PASS","FAIL")</f>
        <v>PASS</v>
      </c>
      <c r="D11" s="2" t="s">
        <v>363</v>
      </c>
      <c r="E11" s="2" t="s">
        <v>345</v>
      </c>
    </row>
    <row r="12" spans="1:10" x14ac:dyDescent="0.3">
      <c r="A12" s="2" t="s">
        <v>364</v>
      </c>
      <c r="B12" s="2" t="s">
        <v>365</v>
      </c>
      <c r="C12" s="20" t="str">
        <f>IF(COUNTIFS('07_카드성장'!$A$5:$A$10,"한계돌파",'07_카드성장'!$C$5:$C$10,"&lt;&gt;CardFood")=0,"PASS","FAIL")</f>
        <v>PASS</v>
      </c>
      <c r="D12" s="2" t="s">
        <v>366</v>
      </c>
      <c r="E12" s="2" t="s">
        <v>345</v>
      </c>
    </row>
    <row r="13" spans="1:10" x14ac:dyDescent="0.3">
      <c r="A13" s="2" t="s">
        <v>367</v>
      </c>
      <c r="B13" s="2" t="s">
        <v>368</v>
      </c>
      <c r="C13" s="20" t="str">
        <f>IF(COUNTIF('09_재화흐름'!$F$5:$H$16,"&lt;0")=0,"PASS","FAIL")</f>
        <v>PASS</v>
      </c>
      <c r="D13" s="2" t="s">
        <v>369</v>
      </c>
      <c r="E13" s="2" t="s">
        <v>345</v>
      </c>
    </row>
    <row r="14" spans="1:10" x14ac:dyDescent="0.3">
      <c r="A14" s="2" t="s">
        <v>370</v>
      </c>
      <c r="B14" s="2" t="s">
        <v>371</v>
      </c>
      <c r="C14" s="20" t="str">
        <f>IF(ABS(SUM('03_게임결과보상'!$C$5:$C$6)-1)&lt;0.0001,"PASS","FAIL")</f>
        <v>PASS</v>
      </c>
      <c r="D14" s="2" t="s">
        <v>372</v>
      </c>
      <c r="E14" s="2" t="s">
        <v>373</v>
      </c>
    </row>
    <row r="15" spans="1:10" x14ac:dyDescent="0.3">
      <c r="A15" s="2" t="s">
        <v>374</v>
      </c>
      <c r="B15" s="2" t="s">
        <v>375</v>
      </c>
      <c r="C15" s="20" t="str">
        <f>IF(MIN('11_대시보드'!$F$5:$F$9)&gt;=0,"PASS","FAIL")</f>
        <v>PASS</v>
      </c>
      <c r="D15" s="2" t="s">
        <v>376</v>
      </c>
      <c r="E15" s="2" t="s">
        <v>373</v>
      </c>
    </row>
    <row r="16" spans="1:10" x14ac:dyDescent="0.3">
      <c r="A16" s="2" t="s">
        <v>377</v>
      </c>
      <c r="B16" s="2" t="s">
        <v>378</v>
      </c>
      <c r="C16" s="20" t="str">
        <f>IF(COUNTIF('04_토너먼트보상'!$J$5:$J$16,"FAIL")+COUNTIF('05_앨범보상'!$J$5:$J$12,"FAIL")+COUNTIF('06_카드팩'!$N$5:$N$13,"FAIL")+COUNTIF('07_카드성장'!$J$5:$J$10,"FAIL")+COUNTIF('08_키워드성장'!$I$5:$I$14,"FAIL")+COUNTIF('09_재화흐름'!$J$5:$J$16,"FAIL")=0,"PASS","FAIL")</f>
        <v>PASS</v>
      </c>
      <c r="D16" s="2" t="s">
        <v>379</v>
      </c>
      <c r="E16" s="2" t="s">
        <v>345</v>
      </c>
    </row>
    <row r="18" spans="1:2" x14ac:dyDescent="0.3">
      <c r="A18" s="4" t="s">
        <v>380</v>
      </c>
      <c r="B18" s="21">
        <f>COUNTIF(C5:C16,"FAIL")</f>
        <v>0</v>
      </c>
    </row>
  </sheetData>
  <mergeCells count="2">
    <mergeCell ref="A1:J1"/>
    <mergeCell ref="A2:J2"/>
  </mergeCells>
  <phoneticPr fontId="7" type="noConversion"/>
  <conditionalFormatting sqref="C5:C16">
    <cfRule type="expression" dxfId="1" priority="1">
      <formula>C5="PASS"</formula>
    </cfRule>
    <cfRule type="expression" dxfId="0" priority="2">
      <formula>C5="FAIL"</formula>
    </cfRule>
  </conditionalFormatting>
  <printOptions horizontalCentered="1"/>
  <pageMargins left="0.75" right="0.75" top="1" bottom="1" header="0.5" footer="0.5"/>
  <pageSetup scale="66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2F75B5"/>
    <pageSetUpPr fitToPage="1"/>
  </sheetPr>
  <dimension ref="A1:J16"/>
  <sheetViews>
    <sheetView showGridLines="0" zoomScale="90" workbookViewId="0">
      <pane ySplit="4" topLeftCell="A5" activePane="bottomLeft" state="frozen"/>
      <selection pane="bottomLeft"/>
    </sheetView>
  </sheetViews>
  <sheetFormatPr defaultRowHeight="16.5" x14ac:dyDescent="0.3"/>
  <cols>
    <col min="1" max="1" width="14" customWidth="1"/>
    <col min="2" max="2" width="22" customWidth="1"/>
    <col min="3" max="3" width="52" customWidth="1"/>
    <col min="4" max="4" width="40" customWidth="1"/>
    <col min="5" max="5" width="16" customWidth="1"/>
    <col min="6" max="6" width="38" customWidth="1"/>
  </cols>
  <sheetData>
    <row r="1" spans="1:10" ht="30" customHeight="1" x14ac:dyDescent="0.3">
      <c r="A1" s="29" t="s">
        <v>381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32.1" customHeight="1" x14ac:dyDescent="0.3">
      <c r="A2" s="31" t="s">
        <v>382</v>
      </c>
      <c r="B2" s="28"/>
      <c r="C2" s="28"/>
      <c r="D2" s="28"/>
      <c r="E2" s="28"/>
      <c r="F2" s="28"/>
      <c r="G2" s="28"/>
      <c r="H2" s="28"/>
      <c r="I2" s="28"/>
      <c r="J2" s="28"/>
    </row>
    <row r="4" spans="1:10" ht="27.95" customHeight="1" x14ac:dyDescent="0.3">
      <c r="A4" s="1" t="s">
        <v>3</v>
      </c>
      <c r="B4" s="1" t="s">
        <v>383</v>
      </c>
      <c r="C4" s="1" t="s">
        <v>384</v>
      </c>
      <c r="D4" s="1" t="s">
        <v>385</v>
      </c>
      <c r="E4" s="1" t="s">
        <v>386</v>
      </c>
      <c r="F4" s="1" t="s">
        <v>387</v>
      </c>
    </row>
    <row r="5" spans="1:10" x14ac:dyDescent="0.3">
      <c r="A5" s="2" t="s">
        <v>388</v>
      </c>
      <c r="B5" s="2" t="s">
        <v>389</v>
      </c>
      <c r="C5" s="2" t="s">
        <v>390</v>
      </c>
      <c r="D5" s="2" t="s">
        <v>391</v>
      </c>
      <c r="E5" s="2" t="s">
        <v>392</v>
      </c>
      <c r="F5" s="2" t="s">
        <v>393</v>
      </c>
    </row>
    <row r="6" spans="1:10" x14ac:dyDescent="0.3">
      <c r="A6" s="2" t="s">
        <v>388</v>
      </c>
      <c r="B6" s="2" t="s">
        <v>55</v>
      </c>
      <c r="C6" s="2" t="s">
        <v>394</v>
      </c>
      <c r="D6" s="2" t="s">
        <v>395</v>
      </c>
      <c r="E6" s="2" t="s">
        <v>396</v>
      </c>
      <c r="F6" s="2" t="s">
        <v>397</v>
      </c>
    </row>
    <row r="7" spans="1:10" x14ac:dyDescent="0.3">
      <c r="A7" s="2" t="s">
        <v>388</v>
      </c>
      <c r="B7" s="2" t="s">
        <v>11</v>
      </c>
      <c r="C7" s="2" t="s">
        <v>398</v>
      </c>
      <c r="D7" s="2" t="s">
        <v>399</v>
      </c>
      <c r="E7" s="2" t="s">
        <v>400</v>
      </c>
      <c r="F7" s="2" t="s">
        <v>397</v>
      </c>
    </row>
    <row r="8" spans="1:10" x14ac:dyDescent="0.3">
      <c r="A8" s="2" t="s">
        <v>388</v>
      </c>
      <c r="B8" s="2" t="s">
        <v>15</v>
      </c>
      <c r="C8" s="2" t="s">
        <v>398</v>
      </c>
      <c r="D8" s="2" t="s">
        <v>401</v>
      </c>
      <c r="E8" s="2" t="s">
        <v>400</v>
      </c>
      <c r="F8" s="2" t="s">
        <v>397</v>
      </c>
    </row>
    <row r="9" spans="1:10" x14ac:dyDescent="0.3">
      <c r="A9" s="2" t="s">
        <v>388</v>
      </c>
      <c r="B9" s="2" t="s">
        <v>402</v>
      </c>
      <c r="C9" s="2" t="s">
        <v>403</v>
      </c>
      <c r="D9" s="2" t="s">
        <v>17</v>
      </c>
      <c r="E9" s="2" t="s">
        <v>404</v>
      </c>
      <c r="F9" s="2" t="s">
        <v>405</v>
      </c>
    </row>
    <row r="10" spans="1:10" x14ac:dyDescent="0.3">
      <c r="A10" s="2" t="s">
        <v>388</v>
      </c>
      <c r="B10" s="2" t="s">
        <v>23</v>
      </c>
      <c r="C10" s="2" t="s">
        <v>406</v>
      </c>
      <c r="D10" s="2" t="s">
        <v>407</v>
      </c>
      <c r="E10" s="2" t="s">
        <v>408</v>
      </c>
      <c r="F10" s="2" t="s">
        <v>409</v>
      </c>
    </row>
    <row r="11" spans="1:10" x14ac:dyDescent="0.3">
      <c r="A11" s="2" t="s">
        <v>388</v>
      </c>
      <c r="B11" s="2" t="s">
        <v>410</v>
      </c>
      <c r="C11" s="2" t="s">
        <v>411</v>
      </c>
      <c r="D11" s="2" t="s">
        <v>412</v>
      </c>
      <c r="E11" s="2" t="s">
        <v>413</v>
      </c>
      <c r="F11" s="2" t="s">
        <v>414</v>
      </c>
    </row>
    <row r="12" spans="1:10" ht="27" x14ac:dyDescent="0.3">
      <c r="A12" s="2" t="s">
        <v>388</v>
      </c>
      <c r="B12" s="2" t="s">
        <v>415</v>
      </c>
      <c r="C12" s="2" t="s">
        <v>416</v>
      </c>
      <c r="D12" s="2" t="s">
        <v>417</v>
      </c>
      <c r="E12" s="2" t="s">
        <v>418</v>
      </c>
      <c r="F12" s="2" t="s">
        <v>419</v>
      </c>
    </row>
    <row r="13" spans="1:10" ht="27" x14ac:dyDescent="0.3">
      <c r="A13" s="2" t="s">
        <v>420</v>
      </c>
      <c r="B13" s="2" t="s">
        <v>421</v>
      </c>
      <c r="C13" s="2" t="s">
        <v>422</v>
      </c>
      <c r="D13" s="2" t="s">
        <v>423</v>
      </c>
      <c r="E13" s="2" t="s">
        <v>424</v>
      </c>
      <c r="F13" s="2" t="s">
        <v>425</v>
      </c>
    </row>
    <row r="14" spans="1:10" x14ac:dyDescent="0.3">
      <c r="A14" s="2" t="s">
        <v>426</v>
      </c>
      <c r="B14" s="2" t="s">
        <v>427</v>
      </c>
      <c r="C14" s="2" t="s">
        <v>428</v>
      </c>
      <c r="D14" s="2" t="s">
        <v>429</v>
      </c>
      <c r="E14" s="2" t="s">
        <v>430</v>
      </c>
      <c r="F14" s="2" t="s">
        <v>431</v>
      </c>
    </row>
    <row r="15" spans="1:10" x14ac:dyDescent="0.3">
      <c r="A15" s="2" t="s">
        <v>432</v>
      </c>
      <c r="B15" s="2" t="s">
        <v>433</v>
      </c>
      <c r="C15" s="2" t="s">
        <v>434</v>
      </c>
      <c r="D15" s="2" t="s">
        <v>435</v>
      </c>
      <c r="E15" s="2" t="s">
        <v>404</v>
      </c>
      <c r="F15" s="2" t="s">
        <v>436</v>
      </c>
    </row>
    <row r="16" spans="1:10" x14ac:dyDescent="0.3">
      <c r="A16" s="2" t="s">
        <v>432</v>
      </c>
      <c r="B16" s="2" t="s">
        <v>437</v>
      </c>
      <c r="C16" s="2" t="s">
        <v>434</v>
      </c>
      <c r="D16" s="2" t="s">
        <v>438</v>
      </c>
      <c r="E16" s="2" t="s">
        <v>439</v>
      </c>
      <c r="F16" s="2" t="s">
        <v>440</v>
      </c>
    </row>
  </sheetData>
  <autoFilter ref="A4:F16" xr:uid="{00000000-0009-0000-0000-00000D000000}"/>
  <mergeCells count="2">
    <mergeCell ref="A1:J1"/>
    <mergeCell ref="A2:J2"/>
  </mergeCells>
  <phoneticPr fontId="7" type="noConversion"/>
  <printOptions horizontalCentered="1"/>
  <pageMargins left="0.75" right="0.75" top="1" bottom="1" header="0.5" footer="0.5"/>
  <pageSetup scale="5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14</vt:i4>
      </vt:variant>
    </vt:vector>
  </HeadingPairs>
  <TitlesOfParts>
    <vt:vector size="28" baseType="lpstr">
      <vt:lpstr>00_설계가이드</vt:lpstr>
      <vt:lpstr>01_현재구현</vt:lpstr>
      <vt:lpstr>02_공통파라미터</vt:lpstr>
      <vt:lpstr>03_게임결과보상</vt:lpstr>
      <vt:lpstr>04_토너먼트보상</vt:lpstr>
      <vt:lpstr>05_앨범보상</vt:lpstr>
      <vt:lpstr>06_카드팩</vt:lpstr>
      <vt:lpstr>07_카드성장</vt:lpstr>
      <vt:lpstr>08_키워드성장</vt:lpstr>
      <vt:lpstr>09_재화흐름</vt:lpstr>
      <vt:lpstr>10_시뮬레이터</vt:lpstr>
      <vt:lpstr>11_대시보드</vt:lpstr>
      <vt:lpstr>12_QA</vt:lpstr>
      <vt:lpstr>13_출처와가정</vt:lpstr>
      <vt:lpstr>'00_설계가이드'!Print_Area</vt:lpstr>
      <vt:lpstr>'01_현재구현'!Print_Area</vt:lpstr>
      <vt:lpstr>'02_공통파라미터'!Print_Area</vt:lpstr>
      <vt:lpstr>'03_게임결과보상'!Print_Area</vt:lpstr>
      <vt:lpstr>'04_토너먼트보상'!Print_Area</vt:lpstr>
      <vt:lpstr>'05_앨범보상'!Print_Area</vt:lpstr>
      <vt:lpstr>'06_카드팩'!Print_Area</vt:lpstr>
      <vt:lpstr>'07_카드성장'!Print_Area</vt:lpstr>
      <vt:lpstr>'08_키워드성장'!Print_Area</vt:lpstr>
      <vt:lpstr>'09_재화흐름'!Print_Area</vt:lpstr>
      <vt:lpstr>'10_시뮬레이터'!Print_Area</vt:lpstr>
      <vt:lpstr>'11_대시보드'!Print_Area</vt:lpstr>
      <vt:lpstr>'12_QA'!Print_Area</vt:lpstr>
      <vt:lpstr>'13_출처와가정'!Print_Area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쿡 앱스</cp:lastModifiedBy>
  <dcterms:created xsi:type="dcterms:W3CDTF">2026-08-25T02:32:17Z</dcterms:created>
  <dcterms:modified xsi:type="dcterms:W3CDTF">2026-08-25T02:34:25Z</dcterms:modified>
</cp:coreProperties>
</file>