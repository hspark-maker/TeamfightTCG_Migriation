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10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822b7b9ab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입력" sheetId="1" r:id="Ref9cdac588f04ffb"/>
    <x:sheet xmlns:r="http://schemas.openxmlformats.org/officeDocument/2006/relationships" name="카드성장" sheetId="2" r:id="Rfc900e76d63242a4"/>
    <x:sheet xmlns:r="http://schemas.openxmlformats.org/officeDocument/2006/relationships" name="모험" sheetId="3" r:id="Rd459792633ec4ff3"/>
    <x:sheet xmlns:r="http://schemas.openxmlformats.org/officeDocument/2006/relationships" name="랭크" sheetId="4" r:id="R186a017a08ad4505"/>
    <x:sheet xmlns:r="http://schemas.openxmlformats.org/officeDocument/2006/relationships" name="재화계획" sheetId="5" r:id="R76aac29b258942ef"/>
    <x:sheet xmlns:r="http://schemas.openxmlformats.org/officeDocument/2006/relationships" name="성장속도" sheetId="6" r:id="Rf4356a330e9b4dc8"/>
    <x:sheet xmlns:r="http://schemas.openxmlformats.org/officeDocument/2006/relationships" name="팩확률" sheetId="7" r:id="R4c6df0a248d8459b"/>
    <x:sheet xmlns:r="http://schemas.openxmlformats.org/officeDocument/2006/relationships" name="랭크상세" sheetId="8" r:id="R8d596fc23bb04f54"/>
    <x:sheet xmlns:r="http://schemas.openxmlformats.org/officeDocument/2006/relationships" name="사용법" sheetId="9" r:id="R0bd775d40cc04d90"/>
    <x:sheet xmlns:r="http://schemas.openxmlformats.org/officeDocument/2006/relationships" name="원본_AccountLevel" sheetId="10" r:id="R261ce91631ef4897"/>
    <x:sheet xmlns:r="http://schemas.openxmlformats.org/officeDocument/2006/relationships" name="원본_AdventureChapter" sheetId="11" r:id="R5735b29d0d0f48e1"/>
    <x:sheet xmlns:r="http://schemas.openxmlformats.org/officeDocument/2006/relationships" name="원본_AdventureReward" sheetId="12" r:id="Re11e185dfb984e0b"/>
    <x:sheet xmlns:r="http://schemas.openxmlformats.org/officeDocument/2006/relationships" name="원본_AIDeckCard" sheetId="13" r:id="R9524b3b41f5a4806"/>
    <x:sheet xmlns:r="http://schemas.openxmlformats.org/officeDocument/2006/relationships" name="원본_AIDeck" sheetId="14" r:id="R958f7e75441843d6"/>
    <x:sheet xmlns:r="http://schemas.openxmlformats.org/officeDocument/2006/relationships" name="원본_AlbumEntry" sheetId="15" r:id="Rbda2faa8b9464a1c"/>
    <x:sheet xmlns:r="http://schemas.openxmlformats.org/officeDocument/2006/relationships" name="원본_AlbumThemeInfo" sheetId="16" r:id="R3d385c5cde084a2c"/>
    <x:sheet xmlns:r="http://schemas.openxmlformats.org/officeDocument/2006/relationships" name="원본_CardEnhanceRule" sheetId="17" r:id="R8adf05f9f47c4b9b"/>
    <x:sheet xmlns:r="http://schemas.openxmlformats.org/officeDocument/2006/relationships" name="원본_CardEnhance" sheetId="18" r:id="R84f80a2c38994ddb"/>
    <x:sheet xmlns:r="http://schemas.openxmlformats.org/officeDocument/2006/relationships" name="원본_CardGrade" sheetId="19" r:id="R3c67e4d13e044b31"/>
    <x:sheet xmlns:r="http://schemas.openxmlformats.org/officeDocument/2006/relationships" name="원본_CardLimitBreak" sheetId="20" r:id="Rb85501c21c484096"/>
    <x:sheet xmlns:r="http://schemas.openxmlformats.org/officeDocument/2006/relationships" name="원본_CardPackDrop" sheetId="21" r:id="Rddf30a261b754e28"/>
    <x:sheet xmlns:r="http://schemas.openxmlformats.org/officeDocument/2006/relationships" name="원본_CardPack" sheetId="22" r:id="R1a89078b53374127"/>
    <x:sheet xmlns:r="http://schemas.openxmlformats.org/officeDocument/2006/relationships" name="원본_Card" sheetId="23" r:id="Ra324800f51134290"/>
    <x:sheet xmlns:r="http://schemas.openxmlformats.org/officeDocument/2006/relationships" name="원본_enum" sheetId="24" r:id="R7614d540538b480c"/>
    <x:sheet xmlns:r="http://schemas.openxmlformats.org/officeDocument/2006/relationships" name="원본_KeywordEnhance" sheetId="25" r:id="R3cd3d3e19b174273"/>
    <x:sheet xmlns:r="http://schemas.openxmlformats.org/officeDocument/2006/relationships" name="원본_LoadingTip" sheetId="26" r:id="R383711ced0e84aa2"/>
    <x:sheet xmlns:r="http://schemas.openxmlformats.org/officeDocument/2006/relationships" name="원본_Mission" sheetId="27" r:id="R892faab9c7d2482c"/>
    <x:sheet xmlns:r="http://schemas.openxmlformats.org/officeDocument/2006/relationships" name="원본_PassLevel" sheetId="28" r:id="R6afd167a6a854a36"/>
    <x:sheet xmlns:r="http://schemas.openxmlformats.org/officeDocument/2006/relationships" name="원본_PassSeason" sheetId="29" r:id="Rc3f833f620624dfe"/>
    <x:sheet xmlns:r="http://schemas.openxmlformats.org/officeDocument/2006/relationships" name="원본_RankAiEncounter" sheetId="30" r:id="Ra6ca2a6913a04c87"/>
    <x:sheet xmlns:r="http://schemas.openxmlformats.org/officeDocument/2006/relationships" name="원본_RankGrade" sheetId="31" r:id="R42b1c007b76d4b59"/>
    <x:sheet xmlns:r="http://schemas.openxmlformats.org/officeDocument/2006/relationships" name="원본_Reward" sheetId="32" r:id="Rb31d486206b14572"/>
    <x:sheet xmlns:r="http://schemas.openxmlformats.org/officeDocument/2006/relationships" name="원본_RouletteSlot" sheetId="33" r:id="R62c06c2b2bb44a3d"/>
    <x:sheet xmlns:r="http://schemas.openxmlformats.org/officeDocument/2006/relationships" name="원본_Roulette" sheetId="34" r:id="Rda5b2494e7a94378"/>
    <x:sheet xmlns:r="http://schemas.openxmlformats.org/officeDocument/2006/relationships" name="원본_SynergyDef" sheetId="35" r:id="R7efea5b9f36945b1"/>
    <x:sheet xmlns:r="http://schemas.openxmlformats.org/officeDocument/2006/relationships" name="원본_SynergyEffectDef" sheetId="36" r:id="R6a5a6b1d168346f6"/>
    <x:sheet xmlns:r="http://schemas.openxmlformats.org/officeDocument/2006/relationships" name="원본_SynergyTierDef" sheetId="37" r:id="Reaa633fdfd30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%"/>
    <x:numFmt numFmtId="202" formatCode="0.000"/>
    <x:numFmt numFmtId="203" formatCode="0.00&quot;x&quot;"/>
    <x:numFmt numFmtId="204" formatCode="0.0"/>
    <x:numFmt numFmtId="205" formatCode="0.0%"/>
    <x:numFmt numFmtId="206" formatCode="0.00%"/>
  </x:numFmts>
  <x:fonts count="6">
    <x:font>
      <x:sz val="11"/>
      <x:name val="Carlito"/>
    </x:font>
    <x:font>
      <x:sz val="10"/>
      <x:color rgb="FF203047"/>
      <x:name val="Arial"/>
    </x:font>
    <x:font>
      <x:b/>
      <x:sz val="11"/>
      <x:color rgb="FFFFFFFF"/>
      <x:name val="Arial"/>
    </x:font>
    <x:font>
      <x:sz val="11"/>
      <x:color rgb="FF203047"/>
      <x:name val="Arial"/>
    </x:font>
    <x:font>
      <x:b/>
      <x:sz val="16"/>
      <x:color rgb="FF203047"/>
      <x:name val="Arial"/>
    </x:font>
    <x:font>
      <x:sz val="10"/>
      <x:color rgb="FF5967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047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206" fontId="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32722"/>
      </x:font>
      <x:fill>
        <x:patternFill patternType="solid">
          <x:bgColor rgb="FFFCE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d34c9777c4a60" /><Relationship Type="http://schemas.openxmlformats.org/officeDocument/2006/relationships/theme" Target="/xl/theme/theme1.xml" Id="R00f00420e0e4481f" /><Relationship Type="http://schemas.openxmlformats.org/officeDocument/2006/relationships/sharedStrings" Target="/xl/sharedStrings.xml" Id="R5223c94b62184134" /><Relationship Type="http://schemas.openxmlformats.org/officeDocument/2006/relationships/worksheet" Target="/xl/worksheets/sheet1.xml" Id="Ref9cdac588f04ffb" /><Relationship Type="http://schemas.openxmlformats.org/officeDocument/2006/relationships/worksheet" Target="/xl/worksheets/sheet2.xml" Id="Rfc900e76d63242a4" /><Relationship Type="http://schemas.openxmlformats.org/officeDocument/2006/relationships/worksheet" Target="/xl/worksheets/sheet3.xml" Id="Rd459792633ec4ff3" /><Relationship Type="http://schemas.openxmlformats.org/officeDocument/2006/relationships/worksheet" Target="/xl/worksheets/sheet4.xml" Id="R186a017a08ad4505" /><Relationship Type="http://schemas.openxmlformats.org/officeDocument/2006/relationships/worksheet" Target="/xl/worksheets/sheet5.xml" Id="R76aac29b258942ef" /><Relationship Type="http://schemas.openxmlformats.org/officeDocument/2006/relationships/worksheet" Target="/xl/worksheets/sheet6.xml" Id="Rf4356a330e9b4dc8" /><Relationship Type="http://schemas.openxmlformats.org/officeDocument/2006/relationships/worksheet" Target="/xl/worksheets/sheet7.xml" Id="R4c6df0a248d8459b" /><Relationship Type="http://schemas.openxmlformats.org/officeDocument/2006/relationships/worksheet" Target="/xl/worksheets/sheet8.xml" Id="R8d596fc23bb04f54" /><Relationship Type="http://schemas.openxmlformats.org/officeDocument/2006/relationships/worksheet" Target="/xl/worksheets/sheet9.xml" Id="R0bd775d40cc04d90" /><Relationship Type="http://schemas.openxmlformats.org/officeDocument/2006/relationships/worksheet" Target="/xl/worksheets/sheet10.xml" Id="R261ce91631ef4897" /><Relationship Type="http://schemas.openxmlformats.org/officeDocument/2006/relationships/worksheet" Target="/xl/worksheets/sheet11.xml" Id="R5735b29d0d0f48e1" /><Relationship Type="http://schemas.openxmlformats.org/officeDocument/2006/relationships/worksheet" Target="/xl/worksheets/sheet12.xml" Id="Re11e185dfb984e0b" /><Relationship Type="http://schemas.openxmlformats.org/officeDocument/2006/relationships/worksheet" Target="/xl/worksheets/sheet13.xml" Id="R9524b3b41f5a4806" /><Relationship Type="http://schemas.openxmlformats.org/officeDocument/2006/relationships/worksheet" Target="/xl/worksheets/sheet14.xml" Id="R958f7e75441843d6" /><Relationship Type="http://schemas.openxmlformats.org/officeDocument/2006/relationships/worksheet" Target="/xl/worksheets/sheet15.xml" Id="Rbda2faa8b9464a1c" /><Relationship Type="http://schemas.openxmlformats.org/officeDocument/2006/relationships/worksheet" Target="/xl/worksheets/sheet16.xml" Id="R3d385c5cde084a2c" /><Relationship Type="http://schemas.openxmlformats.org/officeDocument/2006/relationships/worksheet" Target="/xl/worksheets/sheet17.xml" Id="R8adf05f9f47c4b9b" /><Relationship Type="http://schemas.openxmlformats.org/officeDocument/2006/relationships/worksheet" Target="/xl/worksheets/sheet18.xml" Id="R84f80a2c38994ddb" /><Relationship Type="http://schemas.openxmlformats.org/officeDocument/2006/relationships/worksheet" Target="/xl/worksheets/sheet19.xml" Id="R3c67e4d13e044b31" /><Relationship Type="http://schemas.openxmlformats.org/officeDocument/2006/relationships/worksheet" Target="/xl/worksheets/sheet20.xml" Id="Rb85501c21c484096" /><Relationship Type="http://schemas.openxmlformats.org/officeDocument/2006/relationships/worksheet" Target="/xl/worksheets/sheet21.xml" Id="Rddf30a261b754e28" /><Relationship Type="http://schemas.openxmlformats.org/officeDocument/2006/relationships/worksheet" Target="/xl/worksheets/sheet22.xml" Id="R1a89078b53374127" /><Relationship Type="http://schemas.openxmlformats.org/officeDocument/2006/relationships/worksheet" Target="/xl/worksheets/sheet23.xml" Id="Ra324800f51134290" /><Relationship Type="http://schemas.openxmlformats.org/officeDocument/2006/relationships/worksheet" Target="/xl/worksheets/sheet24.xml" Id="R7614d540538b480c" /><Relationship Type="http://schemas.openxmlformats.org/officeDocument/2006/relationships/worksheet" Target="/xl/worksheets/sheet25.xml" Id="R3cd3d3e19b174273" /><Relationship Type="http://schemas.openxmlformats.org/officeDocument/2006/relationships/worksheet" Target="/xl/worksheets/sheet26.xml" Id="R383711ced0e84aa2" /><Relationship Type="http://schemas.openxmlformats.org/officeDocument/2006/relationships/worksheet" Target="/xl/worksheets/sheet27.xml" Id="R892faab9c7d2482c" /><Relationship Type="http://schemas.openxmlformats.org/officeDocument/2006/relationships/worksheet" Target="/xl/worksheets/sheet28.xml" Id="R6afd167a6a854a36" /><Relationship Type="http://schemas.openxmlformats.org/officeDocument/2006/relationships/worksheet" Target="/xl/worksheets/sheet29.xml" Id="Rc3f833f620624dfe" /><Relationship Type="http://schemas.openxmlformats.org/officeDocument/2006/relationships/worksheet" Target="/xl/worksheets/sheet30.xml" Id="Ra6ca2a6913a04c87" /><Relationship Type="http://schemas.openxmlformats.org/officeDocument/2006/relationships/worksheet" Target="/xl/worksheets/sheet31.xml" Id="R42b1c007b76d4b59" /><Relationship Type="http://schemas.openxmlformats.org/officeDocument/2006/relationships/worksheet" Target="/xl/worksheets/sheet32.xml" Id="Rb31d486206b14572" /><Relationship Type="http://schemas.openxmlformats.org/officeDocument/2006/relationships/worksheet" Target="/xl/worksheets/sheet33.xml" Id="R62c06c2b2bb44a3d" /><Relationship Type="http://schemas.openxmlformats.org/officeDocument/2006/relationships/worksheet" Target="/xl/worksheets/sheet34.xml" Id="Rda5b2494e7a94378" /><Relationship Type="http://schemas.openxmlformats.org/officeDocument/2006/relationships/worksheet" Target="/xl/worksheets/sheet35.xml" Id="R7efea5b9f36945b1" /><Relationship Type="http://schemas.openxmlformats.org/officeDocument/2006/relationships/worksheet" Target="/xl/worksheets/sheet36.xml" Id="R6a5a6b1d168346f6" /><Relationship Type="http://schemas.openxmlformats.org/officeDocument/2006/relationships/worksheet" Target="/xl/worksheets/sheet37.xml" Id="Reaa633fdfd3047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62c15352e14b5c" /><Relationship Type="http://schemas.openxmlformats.org/officeDocument/2006/relationships/chart" Target="/xl/drawings/charts/chart2.xml" Id="Rb9bf175280c944a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2844fb11f44476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6b53ba8298644d4" /><Relationship Type="http://schemas.openxmlformats.org/officeDocument/2006/relationships/chart" Target="/xl/drawings/charts/chart5.xml" Id="Rd2a36ee12fa3485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283cb03ebf74c4e" /><Relationship Type="http://schemas.openxmlformats.org/officeDocument/2006/relationships/chart" Target="/xl/drawings/charts/chart7.xml" Id="R67266efa64644d8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cf8d4cb234c74782" /><Relationship Type="http://schemas.openxmlformats.org/officeDocument/2006/relationships/chart" Target="/xl/drawings/charts/chart9.xml" Id="R5cab95c8a9fe47a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08efecbfa13048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선택한 6장의 레벨별 HP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포슬램</c:v>
          </c:tx>
          <c:spPr>
            <a:solidFill xmlns:a="http://schemas.openxmlformats.org/drawingml/2006/main">
              <a:srgbClr val="2878B5"/>
            </a:solidFill>
            <a:ln xmlns:a="http://schemas.openxmlformats.org/drawingml/2006/main" w="1905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'카드성장'!$J$28:$J$31</c:f>
              <c:strCache>
                <c:ptCount val="0"/>
              </c:strCache>
            </c:strRef>
          </c:cat>
          <c:val>
            <c:numRef>
              <c:f>'카드성장'!$K$28:$K$31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파도리</c:v>
          </c:tx>
          <c:spPr>
            <a:solidFill xmlns:a="http://schemas.openxmlformats.org/drawingml/2006/main">
              <a:srgbClr val="D97732"/>
            </a:solidFill>
            <a:ln xmlns:a="http://schemas.openxmlformats.org/drawingml/2006/main" w="19050">
              <a:solidFill>
                <a:srgbClr val="D97732"/>
              </a:solidFill>
              <a:prstDash val="solid"/>
            </a:ln>
          </c:spPr>
          <c:marker>
            <c:symbol val="none"/>
          </c:marker>
          <c:cat>
            <c:strRef>
              <c:f>'카드성장'!$J$28:$J$31</c:f>
              <c:strCache>
                <c:ptCount val="0"/>
              </c:strCache>
            </c:strRef>
          </c:cat>
          <c:val>
            <c:numRef>
              <c:f>'카드성장'!$L$28:$L$31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꿀꿀비</c:v>
          </c:tx>
          <c:spPr>
            <a:solidFill xmlns:a="http://schemas.openxmlformats.org/drawingml/2006/main">
              <a:srgbClr val="20856A"/>
            </a:solidFill>
            <a:ln xmlns:a="http://schemas.openxmlformats.org/drawingml/2006/main" w="19050">
              <a:solidFill>
                <a:srgbClr val="20856A"/>
              </a:solidFill>
              <a:prstDash val="solid"/>
            </a:ln>
          </c:spPr>
          <c:marker>
            <c:symbol val="none"/>
          </c:marker>
          <c:cat>
            <c:strRef>
              <c:f>'카드성장'!$J$28:$J$31</c:f>
              <c:strCache>
                <c:ptCount val="0"/>
              </c:strCache>
            </c:strRef>
          </c:cat>
          <c:val>
            <c:numRef>
              <c:f>'카드성장'!$M$28:$M$31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솜구름몽</c:v>
          </c:tx>
          <c:spPr>
            <a:solidFill xmlns:a="http://schemas.openxmlformats.org/drawingml/2006/main">
              <a:srgbClr val="8459A6"/>
            </a:solidFill>
            <a:ln xmlns:a="http://schemas.openxmlformats.org/drawingml/2006/main" w="19050">
              <a:solidFill>
                <a:srgbClr val="8459A6"/>
              </a:solidFill>
              <a:prstDash val="solid"/>
            </a:ln>
          </c:spPr>
          <c:marker>
            <c:symbol val="none"/>
          </c:marker>
          <c:cat>
            <c:strRef>
              <c:f>'카드성장'!$J$28:$J$31</c:f>
              <c:strCache>
                <c:ptCount val="0"/>
              </c:strCache>
            </c:strRef>
          </c:cat>
          <c:val>
            <c:numRef>
              <c:f>'카드성장'!$N$28:$N$31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물방울룽</c:v>
          </c:tx>
          <c:spPr>
            <a:solidFill xmlns:a="http://schemas.openxmlformats.org/drawingml/2006/main">
              <a:srgbClr val="C65664"/>
            </a:solidFill>
            <a:ln xmlns:a="http://schemas.openxmlformats.org/drawingml/2006/main" w="19050">
              <a:solidFill>
                <a:srgbClr val="C65664"/>
              </a:solidFill>
              <a:prstDash val="solid"/>
            </a:ln>
          </c:spPr>
          <c:marker>
            <c:symbol val="none"/>
          </c:marker>
          <c:cat>
            <c:strRef>
              <c:f>'카드성장'!$J$28:$J$31</c:f>
              <c:strCache>
                <c:ptCount val="0"/>
              </c:strCache>
            </c:strRef>
          </c:cat>
          <c:val>
            <c:numRef>
              <c:f>'카드성장'!$O$28:$O$31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문바이트</c:v>
          </c:tx>
          <c:spPr>
            <a:solidFill xmlns:a="http://schemas.openxmlformats.org/drawingml/2006/main">
              <a:srgbClr val="709545"/>
            </a:solidFill>
            <a:ln xmlns:a="http://schemas.openxmlformats.org/drawingml/2006/main" w="19050">
              <a:solidFill>
                <a:srgbClr val="709545"/>
              </a:solidFill>
              <a:prstDash val="solid"/>
            </a:ln>
          </c:spPr>
          <c:marker>
            <c:symbol val="none"/>
          </c:marker>
          <c:cat>
            <c:strRef>
              <c:f>'카드성장'!$J$28:$J$31</c:f>
              <c:strCache>
                <c:ptCount val="0"/>
              </c:strCache>
            </c:strRef>
          </c:cat>
          <c:val>
            <c:numRef>
              <c:f>'카드성장'!$P$28:$P$31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조각 1개당 평균 HP 증가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HP / 조각</c:v>
          </c:tx>
          <c:spPr>
            <a:solidFill xmlns:a="http://schemas.openxmlformats.org/drawingml/2006/main">
              <a:srgbClr val="2878B5"/>
            </a:solidFill>
          </c:spPr>
          <c:cat>
            <c:strRef>
              <c:f>'카드성장'!$J$36:$J$38</c:f>
              <c:strCache>
                <c:ptCount val="0"/>
              </c:strCache>
            </c:strRef>
          </c:cat>
          <c:val>
            <c:numRef>
              <c:f>'카드성장'!$M$36:$M$38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모험 상대와 기준 덱 HP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상대 HP</c:v>
          </c:tx>
          <c:spPr>
            <a:solidFill xmlns:a="http://schemas.openxmlformats.org/drawingml/2006/main">
              <a:srgbClr val="2878B5"/>
            </a:solidFill>
            <a:ln xmlns:a="http://schemas.openxmlformats.org/drawingml/2006/main" w="1905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'모험'!$A$7:$A$30</c:f>
              <c:strCache>
                <c:ptCount val="0"/>
              </c:strCache>
            </c:strRef>
          </c:cat>
          <c:val>
            <c:numRef>
              <c:f>'모험'!$G$7:$G$30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기준 덱 HP</c:v>
          </c:tx>
          <c:spPr>
            <a:solidFill xmlns:a="http://schemas.openxmlformats.org/drawingml/2006/main">
              <a:srgbClr val="D97732"/>
            </a:solidFill>
            <a:ln xmlns:a="http://schemas.openxmlformats.org/drawingml/2006/main" w="19050">
              <a:solidFill>
                <a:srgbClr val="D97732"/>
              </a:solidFill>
              <a:prstDash val="solid"/>
            </a:ln>
          </c:spPr>
          <c:marker>
            <c:symbol val="none"/>
          </c:marker>
          <c:cat>
            <c:strRef>
              <c:f>'모험'!$A$7:$A$30</c:f>
              <c:strCache>
                <c:ptCount val="0"/>
              </c:strCache>
            </c:strRef>
          </c:cat>
          <c:val>
            <c:numRef>
              <c:f>'모험'!$H$7:$H$30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일반전 후보 HP 범위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최소 HP</c:v>
          </c:tx>
          <c:spPr>
            <a:solidFill xmlns:a="http://schemas.openxmlformats.org/drawingml/2006/main">
              <a:srgbClr val="2878B5"/>
            </a:solidFill>
            <a:ln xmlns:a="http://schemas.openxmlformats.org/drawingml/2006/main" w="1905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'랭크'!$A$7:$A$26</c:f>
              <c:strCache>
                <c:ptCount val="0"/>
              </c:strCache>
            </c:strRef>
          </c:cat>
          <c:val>
            <c:numRef>
              <c:f>'랭크'!$C$7:$C$26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평균 HP</c:v>
          </c:tx>
          <c:spPr>
            <a:solidFill xmlns:a="http://schemas.openxmlformats.org/drawingml/2006/main">
              <a:srgbClr val="D97732"/>
            </a:solidFill>
            <a:ln xmlns:a="http://schemas.openxmlformats.org/drawingml/2006/main" w="19050">
              <a:solidFill>
                <a:srgbClr val="D97732"/>
              </a:solidFill>
              <a:prstDash val="solid"/>
            </a:ln>
          </c:spPr>
          <c:marker>
            <c:symbol val="none"/>
          </c:marker>
          <c:cat>
            <c:strRef>
              <c:f>'랭크'!$A$7:$A$26</c:f>
              <c:strCache>
                <c:ptCount val="0"/>
              </c:strCache>
            </c:strRef>
          </c:cat>
          <c:val>
            <c:numRef>
              <c:f>'랭크'!$D$7:$D$26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최대 HP</c:v>
          </c:tx>
          <c:spPr>
            <a:solidFill xmlns:a="http://schemas.openxmlformats.org/drawingml/2006/main">
              <a:srgbClr val="20856A"/>
            </a:solidFill>
            <a:ln xmlns:a="http://schemas.openxmlformats.org/drawingml/2006/main" w="19050">
              <a:solidFill>
                <a:srgbClr val="20856A"/>
              </a:solidFill>
              <a:prstDash val="solid"/>
            </a:ln>
          </c:spPr>
          <c:marker>
            <c:symbol val="none"/>
          </c:marker>
          <c:cat>
            <c:strRef>
              <c:f>'랭크'!$A$7:$A$26</c:f>
              <c:strCache>
                <c:ptCount val="0"/>
              </c:strCache>
            </c:strRef>
          </c:cat>
          <c:val>
            <c:numRef>
              <c:f>'랭크'!$E$7:$E$26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기준 덱 HP</c:v>
          </c:tx>
          <c:spPr>
            <a:solidFill xmlns:a="http://schemas.openxmlformats.org/drawingml/2006/main">
              <a:srgbClr val="8459A6"/>
            </a:solidFill>
            <a:ln xmlns:a="http://schemas.openxmlformats.org/drawingml/2006/main" w="19050">
              <a:solidFill>
                <a:srgbClr val="8459A6"/>
              </a:solidFill>
              <a:prstDash val="solid"/>
            </a:ln>
          </c:spPr>
          <c:marker>
            <c:symbol val="none"/>
          </c:marker>
          <c:cat>
            <c:strRef>
              <c:f>'랭크'!$A$7:$A$26</c:f>
              <c:strCache>
                <c:ptCount val="0"/>
              </c:strCache>
            </c:strRef>
          </c:cat>
          <c:val>
            <c:numRef>
              <c:f>'랭크'!$F$7:$F$26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일반전 대비 등급 승급전 HP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일반전 평균</c:v>
          </c:tx>
          <c:spPr>
            <a:solidFill xmlns:a="http://schemas.openxmlformats.org/drawingml/2006/main">
              <a:srgbClr val="2878B5"/>
            </a:solidFill>
          </c:spPr>
          <c:cat>
            <c:strRef>
              <c:f>'랭크'!$A$32:$A$35</c:f>
              <c:strCache>
                <c:ptCount val="0"/>
              </c:strCache>
            </c:strRef>
          </c:cat>
          <c:val>
            <c:numRef>
              <c:f>'랭크'!$B$32:$B$35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승급전 평균</c:v>
          </c:tx>
          <c:spPr>
            <a:solidFill xmlns:a="http://schemas.openxmlformats.org/drawingml/2006/main">
              <a:srgbClr val="D97732"/>
            </a:solidFill>
          </c:spPr>
          <c:cat>
            <c:strRef>
              <c:f>'랭크'!$A$32:$A$35</c:f>
              <c:strCache>
                <c:ptCount val="0"/>
              </c:strCache>
            </c:strRef>
          </c:cat>
          <c:val>
            <c:numRef>
              <c:f>'랭크'!$C$32:$C$35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누적 조각 수입과 소비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누적 수입</c:v>
          </c:tx>
          <c:spPr>
            <a:solidFill xmlns:a="http://schemas.openxmlformats.org/drawingml/2006/main">
              <a:srgbClr val="2878B5"/>
            </a:solidFill>
            <a:ln xmlns:a="http://schemas.openxmlformats.org/drawingml/2006/main" w="1905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'재화계획'!$A$7:$A$30</c:f>
              <c:strCache>
                <c:ptCount val="0"/>
              </c:strCache>
            </c:strRef>
          </c:cat>
          <c:val>
            <c:numRef>
              <c:f>'재화계획'!$G$7:$G$30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누적 소비</c:v>
          </c:tx>
          <c:spPr>
            <a:solidFill xmlns:a="http://schemas.openxmlformats.org/drawingml/2006/main">
              <a:srgbClr val="D97732"/>
            </a:solidFill>
            <a:ln xmlns:a="http://schemas.openxmlformats.org/drawingml/2006/main" w="19050">
              <a:solidFill>
                <a:srgbClr val="D97732"/>
              </a:solidFill>
              <a:prstDash val="solid"/>
            </a:ln>
          </c:spPr>
          <c:marker>
            <c:symbol val="none"/>
          </c:marker>
          <c:cat>
            <c:strRef>
              <c:f>'재화계획'!$A$7:$A$30</c:f>
              <c:strCache>
                <c:ptCount val="0"/>
              </c:strCache>
            </c:strRef>
          </c:cat>
          <c:val>
            <c:numRef>
              <c:f>'재화계획'!$H$7:$H$30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전투 준비 잔액과 클리어 후 잔액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전투 준비 잔액</c:v>
          </c:tx>
          <c:spPr>
            <a:solidFill xmlns:a="http://schemas.openxmlformats.org/drawingml/2006/main">
              <a:srgbClr val="2878B5"/>
            </a:solidFill>
            <a:ln xmlns:a="http://schemas.openxmlformats.org/drawingml/2006/main" w="1905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'재화계획'!$A$7:$A$30</c:f>
              <c:strCache>
                <c:ptCount val="0"/>
              </c:strCache>
            </c:strRef>
          </c:cat>
          <c:val>
            <c:numRef>
              <c:f>'재화계획'!$E$7:$E$30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클리어 후 잔액</c:v>
          </c:tx>
          <c:spPr>
            <a:solidFill xmlns:a="http://schemas.openxmlformats.org/drawingml/2006/main">
              <a:srgbClr val="D97732"/>
            </a:solidFill>
            <a:ln xmlns:a="http://schemas.openxmlformats.org/drawingml/2006/main" w="19050">
              <a:solidFill>
                <a:srgbClr val="D97732"/>
              </a:solidFill>
              <a:prstDash val="solid"/>
            </a:ln>
          </c:spPr>
          <c:marker>
            <c:symbol val="none"/>
          </c:marker>
          <c:cat>
            <c:strRef>
              <c:f>'재화계획'!$A$7:$A$30</c:f>
              <c:strCache>
                <c:ptCount val="0"/>
              </c:strCache>
            </c:strRef>
          </c:cat>
          <c:val>
            <c:numRef>
              <c:f>'재화계획'!$I$7:$I$30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계정 레벨 도달 예상 일수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예상 누적 일수</c:v>
          </c:tx>
          <c:spPr>
            <a:solidFill xmlns:a="http://schemas.openxmlformats.org/drawingml/2006/main">
              <a:srgbClr val="2878B5"/>
            </a:solidFill>
            <a:ln xmlns:a="http://schemas.openxmlformats.org/drawingml/2006/main" w="1905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'성장속도'!$A$11:$A$60</c:f>
              <c:strCache>
                <c:ptCount val="0"/>
              </c:strCache>
            </c:strRef>
          </c:cat>
          <c:val>
            <c:numRef>
              <c:f>'성장속도'!$D$11:$D$60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패스 레벨 도달 예상 일수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예상 누적 일수</c:v>
          </c:tx>
          <c:spPr>
            <a:solidFill xmlns:a="http://schemas.openxmlformats.org/drawingml/2006/main">
              <a:srgbClr val="2878B5"/>
            </a:solidFill>
            <a:ln xmlns:a="http://schemas.openxmlformats.org/drawingml/2006/main" w="1905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'성장속도'!$F$33:$F$42</c:f>
              <c:strCache>
                <c:ptCount val="0"/>
              </c:strCache>
            </c:strRef>
          </c:cat>
          <c:val>
            <c:numRef>
              <c:f>'성장속도'!$H$33:$H$42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선택한 풀의 등급별 추첨 확률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등급별 확률</c:v>
          </c:tx>
          <c:spPr>
            <a:solidFill xmlns:a="http://schemas.openxmlformats.org/drawingml/2006/main">
              <a:srgbClr val="2878B5"/>
            </a:solidFill>
          </c:spPr>
          <c:cat>
            <c:strRef>
              <c:f>'팩확률'!$H$29:$H$32</c:f>
              <c:strCache>
                <c:ptCount val="0"/>
              </c:strCache>
            </c:strRef>
          </c:cat>
          <c:val>
            <c:numRef>
              <c:f>'팩확률'!$I$29:$I$32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62c15352e14b5c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19</xdr:col>
      <xdr:colOff>0</xdr:colOff>
      <xdr:row>58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bf175280c944a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844fb11f44476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b53ba8298644d4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36ee12fa3485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83cb03ebf74c4e"/>
        </a:graphicData>
      </a:graphic>
    </xdr:graphicFrame>
    <xdr:clientData/>
  </xdr:twoCellAnchor>
  <xdr:twoCellAnchor>
    <xdr:from>
      <xdr:col>10</xdr:col>
      <xdr:colOff>0</xdr:colOff>
      <xdr:row>26</xdr:row>
      <xdr:rowOff>0</xdr:rowOff>
    </xdr:from>
    <xdr:to>
      <xdr:col>21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266efa64644d8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8d4cb234c74782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20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ab95c8a9fe47a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efecbfa13048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5799d0bcc78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71740f49e2e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4e17cc31948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764a02bdfda40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0bf67e43e88a48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37fc80771014564" /></Relationships>
</file>

<file path=xl/worksheets/sheet1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레벨디자인 분석 입력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노란 셀을 수정하면 계산·차트가 갱신됩니다. HP 비교에는 전투 중 효과·키워드 강화가 포함되지 않습니다.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</x:row>
    <x:row r="7" ht="30" customHeight="1">
      <x:c r="A7" s="4" t="str">
        <x:v>슬롯</x:v>
      </x:c>
      <x:c r="B7" s="4" t="str">
        <x:v>카드 ID</x:v>
      </x:c>
      <x:c r="C7" s="4" t="str">
        <x:v>카드명</x:v>
      </x:c>
      <x:c r="D7" s="4" t="str">
        <x:v>내부 레벨</x:v>
      </x:c>
      <x:c r="E7" s="4" t="str">
        <x:v>한계돌파</x:v>
      </x:c>
      <x:c r="F7" s="4" t="str">
        <x:v>성장 HP</x:v>
      </x:c>
      <x:c r="G7" s="8"/>
      <x:c r="H7" s="8"/>
      <x:c r="I7" s="8" t="str">
        <x:v>계산 범위</x:v>
      </x:c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 t="n">
        <x:v>1</x:v>
      </x:c>
      <x:c r="B8" s="12" t="n">
        <x:v>1</x:v>
      </x:c>
      <x:c r="C8" s="8" t="str">
        <x:f>VLOOKUP(B8,'카드성장'!$A$7:$G$46,2,FALSE)</x:f>
        <x:v>포슬램</x:v>
      </x:c>
      <x:c r="D8" s="12" t="n">
        <x:v>3</x:v>
      </x:c>
      <x:c r="E8" s="12" t="n">
        <x:v>0</x:v>
      </x:c>
      <x:c r="F8" s="8" t="n">
        <x:f>IF(AND(D8&lt;4,E8&gt;0),NA(),VLOOKUP(B8,'카드성장'!$A$7:$G$46,D8+2,FALSE)+SUMIF('원본_CardLimitBreak'!$B$2:$B$4,"&lt;="&amp;E8,'원본_CardLimitBreak'!$C$2:$C$4))</x:f>
        <x:v>6</x:v>
      </x:c>
      <x:c r="G8" s="8"/>
      <x:c r="H8" s="8"/>
      <x:c r="I8" s="8" t="str">
        <x:v>카드 HP = 기본 HP + 레벨 증가 + 한계돌파</x:v>
      </x:c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 t="n">
        <x:v>2</x:v>
      </x:c>
      <x:c r="B9" s="12" t="n">
        <x:v>2</x:v>
      </x:c>
      <x:c r="C9" s="8" t="str">
        <x:f>VLOOKUP(B9,'카드성장'!$A$7:$G$46,2,FALSE)</x:f>
        <x:v>파도리</x:v>
      </x:c>
      <x:c r="D9" s="12" t="n">
        <x:v>3</x:v>
      </x:c>
      <x:c r="E9" s="12" t="n">
        <x:v>0</x:v>
      </x:c>
      <x:c r="F9" s="8" t="n">
        <x:f>IF(AND(D9&lt;4,E9&gt;0),NA(),VLOOKUP(B9,'카드성장'!$A$7:$G$46,D9+2,FALSE)+SUMIF('원본_CardLimitBreak'!$B$2:$B$4,"&lt;="&amp;E9,'원본_CardLimitBreak'!$C$2:$C$4))</x:f>
        <x:v>7</x:v>
      </x:c>
      <x:c r="G9" s="8"/>
      <x:c r="H9" s="8"/>
      <x:c r="I9" s="8" t="str">
        <x:v>기준 덱은 전 구간에 같은 값으로 표시됩니다.</x:v>
      </x:c>
      <x:c r="J9" s="8"/>
      <x:c r="K9" s="8"/>
      <x:c r="L9" s="8"/>
      <x:c r="M9" s="8"/>
      <x:c r="N9" s="8"/>
      <x:c r="O9" s="8"/>
      <x:c r="P9" s="8"/>
      <x:c r="Q9" s="8"/>
      <x:c r="R9" s="8"/>
    </x:row>
    <x:row r="10" ht="23" customHeight="1">
      <x:c r="A10" s="8" t="n">
        <x:v>3</x:v>
      </x:c>
      <x:c r="B10" s="12" t="n">
        <x:v>20</x:v>
      </x:c>
      <x:c r="C10" s="8" t="str">
        <x:f>VLOOKUP(B10,'카드성장'!$A$7:$G$46,2,FALSE)</x:f>
        <x:v>꿀꿀비</x:v>
      </x:c>
      <x:c r="D10" s="12" t="n">
        <x:v>3</x:v>
      </x:c>
      <x:c r="E10" s="12" t="n">
        <x:v>0</x:v>
      </x:c>
      <x:c r="F10" s="8" t="n">
        <x:f>IF(AND(D10&lt;4,E10&gt;0),NA(),VLOOKUP(B10,'카드성장'!$A$7:$G$46,D10+2,FALSE)+SUMIF('원본_CardLimitBreak'!$B$2:$B$4,"&lt;="&amp;E10,'원본_CardLimitBreak'!$C$2:$C$4))</x:f>
        <x:v>8</x:v>
      </x:c>
      <x:c r="G10" s="8"/>
      <x:c r="H10" s="8"/>
      <x:c r="I10" s="8" t="str">
        <x:v>내부 Lv1~4 = 표시 0~3성</x:v>
      </x:c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n">
        <x:v>4</x:v>
      </x:c>
      <x:c r="B11" s="12" t="n">
        <x:v>4</x:v>
      </x:c>
      <x:c r="C11" s="8" t="str">
        <x:f>VLOOKUP(B11,'카드성장'!$A$7:$G$46,2,FALSE)</x:f>
        <x:v>솜구름몽</x:v>
      </x:c>
      <x:c r="D11" s="12" t="n">
        <x:v>3</x:v>
      </x:c>
      <x:c r="E11" s="12" t="n">
        <x:v>0</x:v>
      </x:c>
      <x:c r="F11" s="8" t="n">
        <x:f>IF(AND(D11&lt;4,E11&gt;0),NA(),VLOOKUP(B11,'카드성장'!$A$7:$G$46,D11+2,FALSE)+SUMIF('원본_CardLimitBreak'!$B$2:$B$4,"&lt;="&amp;E11,'원본_CardLimitBreak'!$C$2:$C$4))</x:f>
        <x:v>9</x:v>
      </x:c>
      <x:c r="G11" s="8"/>
      <x:c r="H11" s="8"/>
      <x:c r="I11" s="8" t="str">
        <x:v>노란 셀: 사용자 가정</x:v>
      </x:c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n">
        <x:v>5</x:v>
      </x:c>
      <x:c r="B12" s="12" t="n">
        <x:v>15</x:v>
      </x:c>
      <x:c r="C12" s="8" t="str">
        <x:f>VLOOKUP(B12,'카드성장'!$A$7:$G$46,2,FALSE)</x:f>
        <x:v>물방울룽</x:v>
      </x:c>
      <x:c r="D12" s="12" t="n">
        <x:v>3</x:v>
      </x:c>
      <x:c r="E12" s="12" t="n">
        <x:v>0</x:v>
      </x:c>
      <x:c r="F12" s="8" t="n">
        <x:f>IF(AND(D12&lt;4,E12&gt;0),NA(),VLOOKUP(B12,'카드성장'!$A$7:$G$46,D12+2,FALSE)+SUMIF('원본_CardLimitBreak'!$B$2:$B$4,"&lt;="&amp;E12,'원본_CardLimitBreak'!$C$2:$C$4))</x:f>
        <x:v>7</x:v>
      </x:c>
      <x:c r="G12" s="8"/>
      <x:c r="H12" s="8"/>
      <x:c r="I12" s="8" t="str">
        <x:v>원본 탭: CSV 사본. 변경은 이 파일 안에서만 반영.</x:v>
      </x:c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n">
        <x:v>6</x:v>
      </x:c>
      <x:c r="B13" s="12" t="n">
        <x:v>35</x:v>
      </x:c>
      <x:c r="C13" s="8" t="str">
        <x:f>VLOOKUP(B13,'카드성장'!$A$7:$G$46,2,FALSE)</x:f>
        <x:v>문바이트</x:v>
      </x:c>
      <x:c r="D13" s="12" t="n">
        <x:v>3</x:v>
      </x:c>
      <x:c r="E13" s="12" t="n">
        <x:v>0</x:v>
      </x:c>
      <x:c r="F13" s="8" t="n">
        <x:f>IF(AND(D13&lt;4,E13&gt;0),NA(),VLOOKUP(B13,'카드성장'!$A$7:$G$46,D13+2,FALSE)+SUMIF('원본_CardLimitBreak'!$B$2:$B$4,"&lt;="&amp;E13,'원본_CardLimitBreak'!$C$2:$C$4))</x:f>
        <x:v>8</x:v>
      </x:c>
      <x:c r="G13" s="8"/>
      <x:c r="H13" s="8"/>
      <x:c r="I13" s="8" t="str">
        <x:v>실제 서버·구글 시트와 자동 동기화되지 않습니다.</x:v>
      </x:c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/>
      <x:c r="B15" s="8"/>
      <x:c r="C15" s="8"/>
      <x:c r="D15" s="8"/>
      <x:c r="E15" s="8" t="str">
        <x:v>덱 HP 합계</x:v>
      </x:c>
      <x:c r="F15" s="8" t="n">
        <x:f>SUM(F8:F13)</x:f>
        <x:v>45</x:v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30" customHeight="1">
      <x:c r="A18" s="4" t="str">
        <x:v>성장·경제 가정</x:v>
      </x:c>
      <x:c r="B18" s="4" t="str">
        <x:v>값</x:v>
      </x:c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str">
        <x:v>전투 승률</x:v>
      </x:c>
      <x:c r="B19" s="13" t="n">
        <x:v>0.5</x:v>
      </x:c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 t="str">
        <x:v>일일 전투 수</x:v>
      </x:c>
      <x:c r="B20" s="12" t="n">
        <x:v>10</x:v>
      </x:c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 t="str">
        <x:v>일일 미션 달성률</x:v>
      </x:c>
      <x:c r="B21" s="13" t="n">
        <x:v>1</x:v>
      </x:c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 t="str">
        <x:v>주간 미션 달성률</x:v>
      </x:c>
      <x:c r="B22" s="13" t="n">
        <x:v>1</x:v>
      </x:c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23" customHeight="1">
      <x:c r="A23" s="8" t="str">
        <x:v>시작 조각</x:v>
      </x:c>
      <x:c r="B23" s="12" t="n">
        <x:v>0</x:v>
      </x:c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23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dataValidations count="4">
    <x:dataValidation type="list" sqref="B8:B13">
      <x:formula1>'원본_Card'!$A$2:$A$41</x:formula1>
    </x:dataValidation>
    <x:dataValidation type="whole" operator="between" sqref="D8:D13">
      <x:formula1>1</x:formula1>
      <x:formula2>4</x:formula2>
    </x:dataValidation>
    <x:dataValidation type="whole" operator="between" sqref="E8:E13">
      <x:formula1>0</x:formula1>
      <x:formula2>3</x:formula2>
    </x:dataValidation>
    <x:dataValidation type="decimal" operator="between" sqref="B19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카드 성장과 강화 효율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카드별 HP는 CSV의 증가량을 누적합니다. 시너지 효과·키워드 강화 제외.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30" customHeight="1">
      <x:c r="A6" s="4" t="str">
        <x:v>카드 ID</x:v>
      </x:c>
      <x:c r="B6" s="4" t="str">
        <x:v>카드명</x:v>
      </x:c>
      <x:c r="C6" s="4" t="str">
        <x:v>Lv1 HP</x:v>
      </x:c>
      <x:c r="D6" s="4" t="str">
        <x:v>Lv2 HP</x:v>
      </x:c>
      <x:c r="E6" s="4" t="str">
        <x:v>Lv3 HP</x:v>
      </x:c>
      <x:c r="F6" s="4" t="str">
        <x:v>Lv4 HP</x:v>
      </x:c>
      <x:c r="G6" s="4" t="str">
        <x:v>등급</x:v>
      </x:c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</x:row>
    <x:row r="7" ht="23" customHeight="1">
      <x:c r="A7" s="8" t="n">
        <x:f>'원본_Card'!A2</x:f>
        <x:v>1</x:v>
      </x:c>
      <x:c r="B7" s="8" t="str">
        <x:f>'원본_Card'!C2</x:f>
        <x:v>포슬램</x:v>
      </x:c>
      <x:c r="C7" s="8" t="n">
        <x:f>'원본_Card'!E2</x:f>
        <x:v>3</x:v>
      </x:c>
      <x:c r="D7" s="8" t="n">
        <x:f>C7+'원본_Card'!J2</x:f>
        <x:v>4</x:v>
      </x:c>
      <x:c r="E7" s="8" t="n">
        <x:f>D7+'원본_Card'!K2</x:f>
        <x:v>6</x:v>
      </x:c>
      <x:c r="F7" s="8" t="n">
        <x:f>E7+'원본_Card'!L2</x:f>
        <x:v>14</x:v>
      </x:c>
      <x:c r="G7" s="8" t="str">
        <x:f>'원본_Card'!N2</x:f>
        <x:v>Common</x:v>
      </x:c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 t="n">
        <x:f>'원본_Card'!A3</x:f>
        <x:v>2</x:v>
      </x:c>
      <x:c r="B8" s="8" t="str">
        <x:f>'원본_Card'!C3</x:f>
        <x:v>파도리</x:v>
      </x:c>
      <x:c r="C8" s="8" t="n">
        <x:f>'원본_Card'!E3</x:f>
        <x:v>3</x:v>
      </x:c>
      <x:c r="D8" s="8" t="n">
        <x:f>C8+'원본_Card'!J3</x:f>
        <x:v>5</x:v>
      </x:c>
      <x:c r="E8" s="8" t="n">
        <x:f>D8+'원본_Card'!K3</x:f>
        <x:v>7</x:v>
      </x:c>
      <x:c r="F8" s="8" t="n">
        <x:f>E8+'원본_Card'!L3</x:f>
        <x:v>14</x:v>
      </x:c>
      <x:c r="G8" s="8" t="str">
        <x:f>'원본_Card'!N3</x:f>
        <x:v>Common</x:v>
      </x:c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 t="n">
        <x:f>'원본_Card'!A4</x:f>
        <x:v>3</x:v>
      </x:c>
      <x:c r="B9" s="8" t="str">
        <x:f>'원본_Card'!C4</x:f>
        <x:v>별토리</x:v>
      </x:c>
      <x:c r="C9" s="8" t="n">
        <x:f>'원본_Card'!E4</x:f>
        <x:v>3</x:v>
      </x:c>
      <x:c r="D9" s="8" t="n">
        <x:f>C9+'원본_Card'!J4</x:f>
        <x:v>5</x:v>
      </x:c>
      <x:c r="E9" s="8" t="n">
        <x:f>D9+'원본_Card'!K4</x:f>
        <x:v>6</x:v>
      </x:c>
      <x:c r="F9" s="8" t="n">
        <x:f>E9+'원본_Card'!L4</x:f>
        <x:v>13</x:v>
      </x:c>
      <x:c r="G9" s="8" t="str">
        <x:f>'원본_Card'!N4</x:f>
        <x:v>Common</x:v>
      </x:c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</x:row>
    <x:row r="10" ht="23" customHeight="1">
      <x:c r="A10" s="8" t="n">
        <x:f>'원본_Card'!A5</x:f>
        <x:v>4</x:v>
      </x:c>
      <x:c r="B10" s="8" t="str">
        <x:f>'원본_Card'!C5</x:f>
        <x:v>솜구름몽</x:v>
      </x:c>
      <x:c r="C10" s="8" t="n">
        <x:f>'원본_Card'!E5</x:f>
        <x:v>5</x:v>
      </x:c>
      <x:c r="D10" s="8" t="n">
        <x:f>C10+'원본_Card'!J5</x:f>
        <x:v>7</x:v>
      </x:c>
      <x:c r="E10" s="8" t="n">
        <x:f>D10+'원본_Card'!K5</x:f>
        <x:v>9</x:v>
      </x:c>
      <x:c r="F10" s="8" t="n">
        <x:f>E10+'원본_Card'!L5</x:f>
        <x:v>18</x:v>
      </x:c>
      <x:c r="G10" s="8" t="str">
        <x:f>'원본_Card'!N5</x:f>
        <x:v>Common</x:v>
      </x:c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n">
        <x:f>'원본_Card'!A6</x:f>
        <x:v>5</x:v>
      </x:c>
      <x:c r="B11" s="8" t="str">
        <x:f>'원본_Card'!C6</x:f>
        <x:v>철갑몽치</x:v>
      </x:c>
      <x:c r="C11" s="8" t="n">
        <x:f>'원본_Card'!E6</x:f>
        <x:v>5</x:v>
      </x:c>
      <x:c r="D11" s="8" t="n">
        <x:f>C11+'원본_Card'!J6</x:f>
        <x:v>7</x:v>
      </x:c>
      <x:c r="E11" s="8" t="n">
        <x:f>D11+'원본_Card'!K6</x:f>
        <x:v>9</x:v>
      </x:c>
      <x:c r="F11" s="8" t="n">
        <x:f>E11+'원본_Card'!L6</x:f>
        <x:v>20</x:v>
      </x:c>
      <x:c r="G11" s="8" t="str">
        <x:f>'원본_Card'!N6</x:f>
        <x:v>Rare</x:v>
      </x:c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n">
        <x:f>'원본_Card'!A7</x:f>
        <x:v>6</x:v>
      </x:c>
      <x:c r="B12" s="8" t="str">
        <x:f>'원본_Card'!C7</x:f>
        <x:v>바위콩</x:v>
      </x:c>
      <x:c r="C12" s="8" t="n">
        <x:f>'원본_Card'!E7</x:f>
        <x:v>6</x:v>
      </x:c>
      <x:c r="D12" s="8" t="n">
        <x:f>C12+'원본_Card'!J7</x:f>
        <x:v>8</x:v>
      </x:c>
      <x:c r="E12" s="8" t="n">
        <x:f>D12+'원본_Card'!K7</x:f>
        <x:v>10</x:v>
      </x:c>
      <x:c r="F12" s="8" t="n">
        <x:f>E12+'원본_Card'!L7</x:f>
        <x:v>20</x:v>
      </x:c>
      <x:c r="G12" s="8" t="str">
        <x:f>'원본_Card'!N7</x:f>
        <x:v>Rare</x:v>
      </x:c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n">
        <x:f>'원본_Card'!A8</x:f>
        <x:v>7</x:v>
      </x:c>
      <x:c r="B13" s="8" t="str">
        <x:f>'원본_Card'!C8</x:f>
        <x:v>왕밤도치</x:v>
      </x:c>
      <x:c r="C13" s="8" t="n">
        <x:f>'원본_Card'!E8</x:f>
        <x:v>6</x:v>
      </x:c>
      <x:c r="D13" s="8" t="n">
        <x:f>C13+'원본_Card'!J8</x:f>
        <x:v>7</x:v>
      </x:c>
      <x:c r="E13" s="8" t="n">
        <x:f>D13+'원본_Card'!K8</x:f>
        <x:v>9</x:v>
      </x:c>
      <x:c r="F13" s="8" t="n">
        <x:f>E13+'원본_Card'!L8</x:f>
        <x:v>19</x:v>
      </x:c>
      <x:c r="G13" s="8" t="str">
        <x:f>'원본_Card'!N8</x:f>
        <x:v>Rare</x:v>
      </x:c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 t="n">
        <x:f>'원본_Card'!A9</x:f>
        <x:v>8</x:v>
      </x:c>
      <x:c r="B14" s="8" t="str">
        <x:f>'원본_Card'!C9</x:f>
        <x:v>깜밤이</x:v>
      </x:c>
      <x:c r="C14" s="8" t="n">
        <x:f>'원본_Card'!E9</x:f>
        <x:v>5</x:v>
      </x:c>
      <x:c r="D14" s="8" t="n">
        <x:f>C14+'원본_Card'!J9</x:f>
        <x:v>6</x:v>
      </x:c>
      <x:c r="E14" s="8" t="n">
        <x:f>D14+'원본_Card'!K9</x:f>
        <x:v>8</x:v>
      </x:c>
      <x:c r="F14" s="8" t="n">
        <x:f>E14+'원본_Card'!L9</x:f>
        <x:v>18</x:v>
      </x:c>
      <x:c r="G14" s="8" t="str">
        <x:f>'원본_Card'!N9</x:f>
        <x:v>Rare</x:v>
      </x:c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 t="n">
        <x:f>'원본_Card'!A10</x:f>
        <x:v>9</x:v>
      </x:c>
      <x:c r="B15" s="8" t="str">
        <x:f>'원본_Card'!C10</x:f>
        <x:v>버섯냥</x:v>
      </x:c>
      <x:c r="C15" s="8" t="n">
        <x:f>'원본_Card'!E10</x:f>
        <x:v>3</x:v>
      </x:c>
      <x:c r="D15" s="8" t="n">
        <x:f>C15+'원본_Card'!J10</x:f>
        <x:v>5</x:v>
      </x:c>
      <x:c r="E15" s="8" t="n">
        <x:f>D15+'원본_Card'!K10</x:f>
        <x:v>7</x:v>
      </x:c>
      <x:c r="F15" s="8" t="n">
        <x:f>E15+'원본_Card'!L10</x:f>
        <x:v>14</x:v>
      </x:c>
      <x:c r="G15" s="8" t="str">
        <x:f>'원본_Card'!N10</x:f>
        <x:v>Common</x:v>
      </x:c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 t="n">
        <x:f>'원본_Card'!A11</x:f>
        <x:v>10</x:v>
      </x:c>
      <x:c r="B16" s="8" t="str">
        <x:f>'원본_Card'!C11</x:f>
        <x:v>꿈먹이</x:v>
      </x:c>
      <x:c r="C16" s="8" t="n">
        <x:f>'원본_Card'!E11</x:f>
        <x:v>5</x:v>
      </x:c>
      <x:c r="D16" s="8" t="n">
        <x:f>C16+'원본_Card'!J11</x:f>
        <x:v>7</x:v>
      </x:c>
      <x:c r="E16" s="8" t="n">
        <x:f>D16+'원본_Card'!K11</x:f>
        <x:v>8</x:v>
      </x:c>
      <x:c r="F16" s="8" t="n">
        <x:f>E16+'원본_Card'!L11</x:f>
        <x:v>17</x:v>
      </x:c>
      <x:c r="G16" s="8" t="str">
        <x:f>'원본_Card'!N11</x:f>
        <x:v>Rare</x:v>
      </x:c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 t="n">
        <x:f>'원본_Card'!A12</x:f>
        <x:v>11</x:v>
      </x:c>
      <x:c r="B17" s="8" t="str">
        <x:f>'원본_Card'!C12</x:f>
        <x:v>우드혼</x:v>
      </x:c>
      <x:c r="C17" s="8" t="n">
        <x:f>'원본_Card'!E12</x:f>
        <x:v>4</x:v>
      </x:c>
      <x:c r="D17" s="8" t="n">
        <x:f>C17+'원본_Card'!J12</x:f>
        <x:v>5</x:v>
      </x:c>
      <x:c r="E17" s="8" t="n">
        <x:f>D17+'원본_Card'!K12</x:f>
        <x:v>7</x:v>
      </x:c>
      <x:c r="F17" s="8" t="n">
        <x:f>E17+'원본_Card'!L12</x:f>
        <x:v>15</x:v>
      </x:c>
      <x:c r="G17" s="8" t="str">
        <x:f>'원본_Card'!N12</x:f>
        <x:v>Rare</x:v>
      </x:c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23" customHeight="1">
      <x:c r="A18" s="8" t="n">
        <x:f>'원본_Card'!A13</x:f>
        <x:v>12</x:v>
      </x:c>
      <x:c r="B18" s="8" t="str">
        <x:f>'원본_Card'!C13</x:f>
        <x:v>대장부리</x:v>
      </x:c>
      <x:c r="C18" s="8" t="n">
        <x:f>'원본_Card'!E13</x:f>
        <x:v>5</x:v>
      </x:c>
      <x:c r="D18" s="8" t="n">
        <x:f>C18+'원본_Card'!J13</x:f>
        <x:v>7</x:v>
      </x:c>
      <x:c r="E18" s="8" t="n">
        <x:f>D18+'원본_Card'!K13</x:f>
        <x:v>9</x:v>
      </x:c>
      <x:c r="F18" s="8" t="n">
        <x:f>E18+'원본_Card'!L13</x:f>
        <x:v>18</x:v>
      </x:c>
      <x:c r="G18" s="8" t="str">
        <x:f>'원본_Card'!N13</x:f>
        <x:v>Arcane</x:v>
      </x:c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n">
        <x:f>'원본_Card'!A14</x:f>
        <x:v>13</x:v>
      </x:c>
      <x:c r="B19" s="8" t="str">
        <x:f>'원본_Card'!C14</x:f>
        <x:v>늪꾸리</x:v>
      </x:c>
      <x:c r="C19" s="8" t="n">
        <x:f>'원본_Card'!E14</x:f>
        <x:v>5</x:v>
      </x:c>
      <x:c r="D19" s="8" t="n">
        <x:f>C19+'원본_Card'!J14</x:f>
        <x:v>7</x:v>
      </x:c>
      <x:c r="E19" s="8" t="n">
        <x:f>D19+'원본_Card'!K14</x:f>
        <x:v>9</x:v>
      </x:c>
      <x:c r="F19" s="8" t="n">
        <x:f>E19+'원본_Card'!L14</x:f>
        <x:v>17</x:v>
      </x:c>
      <x:c r="G19" s="8" t="str">
        <x:f>'원본_Card'!N14</x:f>
        <x:v>Rare</x:v>
      </x:c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 t="n">
        <x:f>'원본_Card'!A15</x:f>
        <x:v>14</x:v>
      </x:c>
      <x:c r="B20" s="8" t="str">
        <x:f>'원본_Card'!C15</x:f>
        <x:v>해롱문어</x:v>
      </x:c>
      <x:c r="C20" s="8" t="n">
        <x:f>'원본_Card'!E15</x:f>
        <x:v>5</x:v>
      </x:c>
      <x:c r="D20" s="8" t="n">
        <x:f>C20+'원본_Card'!J15</x:f>
        <x:v>6</x:v>
      </x:c>
      <x:c r="E20" s="8" t="n">
        <x:f>D20+'원본_Card'!K15</x:f>
        <x:v>8</x:v>
      </x:c>
      <x:c r="F20" s="8" t="n">
        <x:f>E20+'원본_Card'!L15</x:f>
        <x:v>17</x:v>
      </x:c>
      <x:c r="G20" s="8" t="str">
        <x:f>'원본_Card'!N15</x:f>
        <x:v>Rare</x:v>
      </x:c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 t="n">
        <x:f>'원본_Card'!A16</x:f>
        <x:v>15</x:v>
      </x:c>
      <x:c r="B21" s="8" t="str">
        <x:f>'원본_Card'!C16</x:f>
        <x:v>물방울룽</x:v>
      </x:c>
      <x:c r="C21" s="8" t="n">
        <x:f>'원본_Card'!E16</x:f>
        <x:v>3</x:v>
      </x:c>
      <x:c r="D21" s="8" t="n">
        <x:f>C21+'원본_Card'!J16</x:f>
        <x:v>5</x:v>
      </x:c>
      <x:c r="E21" s="8" t="n">
        <x:f>D21+'원본_Card'!K16</x:f>
        <x:v>7</x:v>
      </x:c>
      <x:c r="F21" s="8" t="n">
        <x:f>E21+'원본_Card'!L16</x:f>
        <x:v>15</x:v>
      </x:c>
      <x:c r="G21" s="8" t="str">
        <x:f>'원본_Card'!N16</x:f>
        <x:v>Common</x:v>
      </x:c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 t="n">
        <x:f>'원본_Card'!A17</x:f>
        <x:v>16</x:v>
      </x:c>
      <x:c r="B22" s="8" t="str">
        <x:f>'원본_Card'!C17</x:f>
        <x:v>풍선펭</x:v>
      </x:c>
      <x:c r="C22" s="8" t="n">
        <x:f>'원본_Card'!E17</x:f>
        <x:v>3</x:v>
      </x:c>
      <x:c r="D22" s="8" t="n">
        <x:f>C22+'원본_Card'!J17</x:f>
        <x:v>6</x:v>
      </x:c>
      <x:c r="E22" s="8" t="n">
        <x:f>D22+'원본_Card'!K17</x:f>
        <x:v>7</x:v>
      </x:c>
      <x:c r="F22" s="8" t="n">
        <x:f>E22+'원본_Card'!L17</x:f>
        <x:v>14</x:v>
      </x:c>
      <x:c r="G22" s="8" t="str">
        <x:f>'원본_Card'!N17</x:f>
        <x:v>Common</x:v>
      </x:c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23" customHeight="1">
      <x:c r="A23" s="8" t="n">
        <x:f>'원본_Card'!A18</x:f>
        <x:v>17</x:v>
      </x:c>
      <x:c r="B23" s="8" t="str">
        <x:f>'원본_Card'!C18</x:f>
        <x:v>와글도도</x:v>
      </x:c>
      <x:c r="C23" s="8" t="n">
        <x:f>'원본_Card'!E18</x:f>
        <x:v>2</x:v>
      </x:c>
      <x:c r="D23" s="8" t="n">
        <x:f>C23+'원본_Card'!J18</x:f>
        <x:v>4</x:v>
      </x:c>
      <x:c r="E23" s="8" t="n">
        <x:f>D23+'원본_Card'!K18</x:f>
        <x:v>6</x:v>
      </x:c>
      <x:c r="F23" s="8" t="n">
        <x:f>E23+'원본_Card'!L18</x:f>
        <x:v>15</x:v>
      </x:c>
      <x:c r="G23" s="8" t="str">
        <x:f>'원본_Card'!N18</x:f>
        <x:v>Common</x:v>
      </x:c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 t="n">
        <x:f>'원본_Card'!A19</x:f>
        <x:v>18</x:v>
      </x:c>
      <x:c r="B24" s="8" t="str">
        <x:f>'원본_Card'!C19</x:f>
        <x:v>모래몽</x:v>
      </x:c>
      <x:c r="C24" s="8" t="n">
        <x:f>'원본_Card'!E19</x:f>
        <x:v>3</x:v>
      </x:c>
      <x:c r="D24" s="8" t="n">
        <x:f>C24+'원본_Card'!J19</x:f>
        <x:v>5</x:v>
      </x:c>
      <x:c r="E24" s="8" t="n">
        <x:f>D24+'원본_Card'!K19</x:f>
        <x:v>7</x:v>
      </x:c>
      <x:c r="F24" s="8" t="n">
        <x:f>E24+'원본_Card'!L19</x:f>
        <x:v>14</x:v>
      </x:c>
      <x:c r="G24" s="8" t="str">
        <x:f>'원본_Card'!N19</x:f>
        <x:v>Common</x:v>
      </x:c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 t="n">
        <x:f>'원본_Card'!A20</x:f>
        <x:v>19</x:v>
      </x:c>
      <x:c r="B25" s="8" t="str">
        <x:f>'원본_Card'!C20</x:f>
        <x:v>얼음꼬미</x:v>
      </x:c>
      <x:c r="C25" s="8" t="n">
        <x:f>'원본_Card'!E20</x:f>
        <x:v>3</x:v>
      </x:c>
      <x:c r="D25" s="8" t="n">
        <x:f>C25+'원본_Card'!J20</x:f>
        <x:v>5</x:v>
      </x:c>
      <x:c r="E25" s="8" t="n">
        <x:f>D25+'원본_Card'!K20</x:f>
        <x:v>7</x:v>
      </x:c>
      <x:c r="F25" s="8" t="n">
        <x:f>E25+'원본_Card'!L20</x:f>
        <x:v>16</x:v>
      </x:c>
      <x:c r="G25" s="8" t="str">
        <x:f>'원본_Card'!N20</x:f>
        <x:v>Common</x:v>
      </x:c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 t="n">
        <x:f>'원본_Card'!A21</x:f>
        <x:v>20</x:v>
      </x:c>
      <x:c r="B26" s="8" t="str">
        <x:f>'원본_Card'!C21</x:f>
        <x:v>꿀꿀비</x:v>
      </x:c>
      <x:c r="C26" s="8" t="n">
        <x:f>'원본_Card'!E21</x:f>
        <x:v>4</x:v>
      </x:c>
      <x:c r="D26" s="8" t="n">
        <x:f>C26+'원본_Card'!J21</x:f>
        <x:v>6</x:v>
      </x:c>
      <x:c r="E26" s="8" t="n">
        <x:f>D26+'원본_Card'!K21</x:f>
        <x:v>8</x:v>
      </x:c>
      <x:c r="F26" s="8" t="n">
        <x:f>E26+'원본_Card'!L21</x:f>
        <x:v>18</x:v>
      </x:c>
      <x:c r="G26" s="8" t="str">
        <x:f>'원본_Card'!N21</x:f>
        <x:v>Common</x:v>
      </x:c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30" customHeight="1">
      <x:c r="A27" s="8" t="n">
        <x:f>'원본_Card'!A22</x:f>
        <x:v>21</x:v>
      </x:c>
      <x:c r="B27" s="8" t="str">
        <x:f>'원본_Card'!C22</x:f>
        <x:v>자석게</x:v>
      </x:c>
      <x:c r="C27" s="8" t="n">
        <x:f>'원본_Card'!E22</x:f>
        <x:v>6</x:v>
      </x:c>
      <x:c r="D27" s="8" t="n">
        <x:f>C27+'원본_Card'!J22</x:f>
        <x:v>7</x:v>
      </x:c>
      <x:c r="E27" s="8" t="n">
        <x:f>D27+'원본_Card'!K22</x:f>
        <x:v>9</x:v>
      </x:c>
      <x:c r="F27" s="8" t="n">
        <x:f>E27+'원본_Card'!L22</x:f>
        <x:v>19</x:v>
      </x:c>
      <x:c r="G27" s="8" t="str">
        <x:f>'원본_Card'!N22</x:f>
        <x:v>Arcane</x:v>
      </x:c>
      <x:c r="H27" s="8"/>
      <x:c r="I27" s="8"/>
      <x:c r="J27" s="4" t="str">
        <x:v>레벨</x:v>
      </x:c>
      <x:c r="K27" s="4" t="str">
        <x:f>'입력'!C8</x:f>
        <x:v>포슬램</x:v>
      </x:c>
      <x:c r="L27" s="4" t="str">
        <x:f>'입력'!C9</x:f>
        <x:v>파도리</x:v>
      </x:c>
      <x:c r="M27" s="4" t="str">
        <x:f>'입력'!C10</x:f>
        <x:v>꿀꿀비</x:v>
      </x:c>
      <x:c r="N27" s="4" t="str">
        <x:f>'입력'!C11</x:f>
        <x:v>솜구름몽</x:v>
      </x:c>
      <x:c r="O27" s="4" t="str">
        <x:f>'입력'!C12</x:f>
        <x:v>물방울룽</x:v>
      </x:c>
      <x:c r="P27" s="4" t="str">
        <x:f>'입력'!C13</x:f>
        <x:v>문바이트</x:v>
      </x:c>
      <x:c r="Q27" s="8"/>
      <x:c r="R27" s="8"/>
    </x:row>
    <x:row r="28" ht="23" customHeight="1">
      <x:c r="A28" s="8" t="n">
        <x:f>'원본_Card'!A23</x:f>
        <x:v>22</x:v>
      </x:c>
      <x:c r="B28" s="8" t="str">
        <x:f>'원본_Card'!C23</x:f>
        <x:v>톱니두더</x:v>
      </x:c>
      <x:c r="C28" s="8" t="n">
        <x:f>'원본_Card'!E23</x:f>
        <x:v>5</x:v>
      </x:c>
      <x:c r="D28" s="8" t="n">
        <x:f>C28+'원본_Card'!J23</x:f>
        <x:v>7</x:v>
      </x:c>
      <x:c r="E28" s="8" t="n">
        <x:f>D28+'원본_Card'!K23</x:f>
        <x:v>9</x:v>
      </x:c>
      <x:c r="F28" s="8" t="n">
        <x:f>E28+'원본_Card'!L23</x:f>
        <x:v>18</x:v>
      </x:c>
      <x:c r="G28" s="8" t="str">
        <x:f>'원본_Card'!N23</x:f>
        <x:v>Rare</x:v>
      </x:c>
      <x:c r="H28" s="8"/>
      <x:c r="I28" s="8"/>
      <x:c r="J28" s="8" t="str">
        <x:v>Lv1</x:v>
      </x:c>
      <x:c r="K28" s="8" t="n">
        <x:f>VLOOKUP('입력'!B8,$A$7:$G$46,3,FALSE)</x:f>
        <x:v>3</x:v>
      </x:c>
      <x:c r="L28" s="8" t="n">
        <x:f>VLOOKUP('입력'!B9,$A$7:$G$46,3,FALSE)</x:f>
        <x:v>3</x:v>
      </x:c>
      <x:c r="M28" s="8" t="n">
        <x:f>VLOOKUP('입력'!B10,$A$7:$G$46,3,FALSE)</x:f>
        <x:v>4</x:v>
      </x:c>
      <x:c r="N28" s="8" t="n">
        <x:f>VLOOKUP('입력'!B11,$A$7:$G$46,3,FALSE)</x:f>
        <x:v>5</x:v>
      </x:c>
      <x:c r="O28" s="8" t="n">
        <x:f>VLOOKUP('입력'!B12,$A$7:$G$46,3,FALSE)</x:f>
        <x:v>3</x:v>
      </x:c>
      <x:c r="P28" s="8" t="n">
        <x:f>VLOOKUP('입력'!B13,$A$7:$G$46,3,FALSE)</x:f>
        <x:v>4</x:v>
      </x:c>
      <x:c r="Q28" s="8"/>
      <x:c r="R28" s="8"/>
    </x:row>
    <x:row r="29" ht="23" customHeight="1">
      <x:c r="A29" s="8" t="n">
        <x:f>'원본_Card'!A24</x:f>
        <x:v>23</x:v>
      </x:c>
      <x:c r="B29" s="8" t="str">
        <x:f>'원본_Card'!C24</x:f>
        <x:v>눈덩곰</x:v>
      </x:c>
      <x:c r="C29" s="8" t="n">
        <x:f>'원본_Card'!E24</x:f>
        <x:v>6</x:v>
      </x:c>
      <x:c r="D29" s="8" t="n">
        <x:f>C29+'원본_Card'!J24</x:f>
        <x:v>7</x:v>
      </x:c>
      <x:c r="E29" s="8" t="n">
        <x:f>D29+'원본_Card'!K24</x:f>
        <x:v>9</x:v>
      </x:c>
      <x:c r="F29" s="8" t="n">
        <x:f>E29+'원본_Card'!L24</x:f>
        <x:v>19</x:v>
      </x:c>
      <x:c r="G29" s="8" t="str">
        <x:f>'원본_Card'!N24</x:f>
        <x:v>Rare</x:v>
      </x:c>
      <x:c r="H29" s="8"/>
      <x:c r="I29" s="8"/>
      <x:c r="J29" s="8" t="str">
        <x:v>Lv2</x:v>
      </x:c>
      <x:c r="K29" s="8" t="n">
        <x:f>VLOOKUP('입력'!B8,$A$7:$G$46,4,FALSE)</x:f>
        <x:v>4</x:v>
      </x:c>
      <x:c r="L29" s="8" t="n">
        <x:f>VLOOKUP('입력'!B9,$A$7:$G$46,4,FALSE)</x:f>
        <x:v>5</x:v>
      </x:c>
      <x:c r="M29" s="8" t="n">
        <x:f>VLOOKUP('입력'!B10,$A$7:$G$46,4,FALSE)</x:f>
        <x:v>6</x:v>
      </x:c>
      <x:c r="N29" s="8" t="n">
        <x:f>VLOOKUP('입력'!B11,$A$7:$G$46,4,FALSE)</x:f>
        <x:v>7</x:v>
      </x:c>
      <x:c r="O29" s="8" t="n">
        <x:f>VLOOKUP('입력'!B12,$A$7:$G$46,4,FALSE)</x:f>
        <x:v>5</x:v>
      </x:c>
      <x:c r="P29" s="8" t="n">
        <x:f>VLOOKUP('입력'!B13,$A$7:$G$46,4,FALSE)</x:f>
        <x:v>6</x:v>
      </x:c>
      <x:c r="Q29" s="8"/>
      <x:c r="R29" s="8"/>
    </x:row>
    <x:row r="30" ht="23" customHeight="1">
      <x:c r="A30" s="8" t="n">
        <x:f>'원본_Card'!A25</x:f>
        <x:v>24</x:v>
      </x:c>
      <x:c r="B30" s="8" t="str">
        <x:f>'원본_Card'!C25</x:f>
        <x:v>화르룩스</x:v>
      </x:c>
      <x:c r="C30" s="8" t="n">
        <x:f>'원본_Card'!E25</x:f>
        <x:v>8</x:v>
      </x:c>
      <x:c r="D30" s="8" t="n">
        <x:f>C30+'원본_Card'!J25</x:f>
        <x:v>9</x:v>
      </x:c>
      <x:c r="E30" s="8" t="n">
        <x:f>D30+'원본_Card'!K25</x:f>
        <x:v>11</x:v>
      </x:c>
      <x:c r="F30" s="8" t="n">
        <x:f>E30+'원본_Card'!L25</x:f>
        <x:v>20</x:v>
      </x:c>
      <x:c r="G30" s="8" t="str">
        <x:f>'원본_Card'!N25</x:f>
        <x:v>Rare</x:v>
      </x:c>
      <x:c r="H30" s="8"/>
      <x:c r="I30" s="8"/>
      <x:c r="J30" s="8" t="str">
        <x:v>Lv3</x:v>
      </x:c>
      <x:c r="K30" s="8" t="n">
        <x:f>VLOOKUP('입력'!B8,$A$7:$G$46,5,FALSE)</x:f>
        <x:v>6</x:v>
      </x:c>
      <x:c r="L30" s="8" t="n">
        <x:f>VLOOKUP('입력'!B9,$A$7:$G$46,5,FALSE)</x:f>
        <x:v>7</x:v>
      </x:c>
      <x:c r="M30" s="8" t="n">
        <x:f>VLOOKUP('입력'!B10,$A$7:$G$46,5,FALSE)</x:f>
        <x:v>8</x:v>
      </x:c>
      <x:c r="N30" s="8" t="n">
        <x:f>VLOOKUP('입력'!B11,$A$7:$G$46,5,FALSE)</x:f>
        <x:v>9</x:v>
      </x:c>
      <x:c r="O30" s="8" t="n">
        <x:f>VLOOKUP('입력'!B12,$A$7:$G$46,5,FALSE)</x:f>
        <x:v>7</x:v>
      </x:c>
      <x:c r="P30" s="8" t="n">
        <x:f>VLOOKUP('입력'!B13,$A$7:$G$46,5,FALSE)</x:f>
        <x:v>8</x:v>
      </x:c>
      <x:c r="Q30" s="8"/>
      <x:c r="R30" s="8"/>
    </x:row>
    <x:row r="31" ht="23" customHeight="1">
      <x:c r="A31" s="8" t="n">
        <x:f>'원본_Card'!A26</x:f>
        <x:v>25</x:v>
      </x:c>
      <x:c r="B31" s="8" t="str">
        <x:f>'원본_Card'!C26</x:f>
        <x:v>찌릿핀</x:v>
      </x:c>
      <x:c r="C31" s="8" t="n">
        <x:f>'원본_Card'!E26</x:f>
        <x:v>5</x:v>
      </x:c>
      <x:c r="D31" s="8" t="n">
        <x:f>C31+'원본_Card'!J26</x:f>
        <x:v>7</x:v>
      </x:c>
      <x:c r="E31" s="8" t="n">
        <x:f>D31+'원본_Card'!K26</x:f>
        <x:v>9</x:v>
      </x:c>
      <x:c r="F31" s="8" t="n">
        <x:f>E31+'원본_Card'!L26</x:f>
        <x:v>17</x:v>
      </x:c>
      <x:c r="G31" s="8" t="str">
        <x:f>'원본_Card'!N26</x:f>
        <x:v>Rare</x:v>
      </x:c>
      <x:c r="H31" s="8"/>
      <x:c r="I31" s="8"/>
      <x:c r="J31" s="8" t="str">
        <x:v>Lv4</x:v>
      </x:c>
      <x:c r="K31" s="8" t="n">
        <x:f>VLOOKUP('입력'!B8,$A$7:$G$46,6,FALSE)</x:f>
        <x:v>14</x:v>
      </x:c>
      <x:c r="L31" s="8" t="n">
        <x:f>VLOOKUP('입력'!B9,$A$7:$G$46,6,FALSE)</x:f>
        <x:v>14</x:v>
      </x:c>
      <x:c r="M31" s="8" t="n">
        <x:f>VLOOKUP('입력'!B10,$A$7:$G$46,6,FALSE)</x:f>
        <x:v>18</x:v>
      </x:c>
      <x:c r="N31" s="8" t="n">
        <x:f>VLOOKUP('입력'!B11,$A$7:$G$46,6,FALSE)</x:f>
        <x:v>18</x:v>
      </x:c>
      <x:c r="O31" s="8" t="n">
        <x:f>VLOOKUP('입력'!B12,$A$7:$G$46,6,FALSE)</x:f>
        <x:v>15</x:v>
      </x:c>
      <x:c r="P31" s="8" t="n">
        <x:f>VLOOKUP('입력'!B13,$A$7:$G$46,6,FALSE)</x:f>
        <x:v>16</x:v>
      </x:c>
      <x:c r="Q31" s="8"/>
      <x:c r="R31" s="8"/>
    </x:row>
    <x:row r="32" ht="23" customHeight="1">
      <x:c r="A32" s="8" t="n">
        <x:f>'원본_Card'!A27</x:f>
        <x:v>26</x:v>
      </x:c>
      <x:c r="B32" s="8" t="str">
        <x:f>'원본_Card'!C27</x:f>
        <x:v>번개뿔</x:v>
      </x:c>
      <x:c r="C32" s="8" t="n">
        <x:f>'원본_Card'!E27</x:f>
        <x:v>5</x:v>
      </x:c>
      <x:c r="D32" s="8" t="n">
        <x:f>C32+'원본_Card'!J27</x:f>
        <x:v>7</x:v>
      </x:c>
      <x:c r="E32" s="8" t="n">
        <x:f>D32+'원본_Card'!K27</x:f>
        <x:v>9</x:v>
      </x:c>
      <x:c r="F32" s="8" t="n">
        <x:f>E32+'원본_Card'!L27</x:f>
        <x:v>17</x:v>
      </x:c>
      <x:c r="G32" s="8" t="str">
        <x:f>'원본_Card'!N27</x:f>
        <x:v>Rare</x:v>
      </x:c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 t="n">
        <x:f>'원본_Card'!A28</x:f>
        <x:v>27</x:v>
      </x:c>
      <x:c r="B33" s="8" t="str">
        <x:f>'원본_Card'!C28</x:f>
        <x:v>모닥콩</x:v>
      </x:c>
      <x:c r="C33" s="8" t="n">
        <x:f>'원본_Card'!E28</x:f>
        <x:v>4</x:v>
      </x:c>
      <x:c r="D33" s="8" t="n">
        <x:f>C33+'원본_Card'!J28</x:f>
        <x:v>5</x:v>
      </x:c>
      <x:c r="E33" s="8" t="n">
        <x:f>D33+'원본_Card'!K28</x:f>
        <x:v>7</x:v>
      </x:c>
      <x:c r="F33" s="8" t="n">
        <x:f>E33+'원본_Card'!L28</x:f>
        <x:v>15</x:v>
      </x:c>
      <x:c r="G33" s="8" t="str">
        <x:f>'원본_Card'!N28</x:f>
        <x:v>Rare</x:v>
      </x:c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 t="n">
        <x:f>'원본_Card'!A29</x:f>
        <x:v>28</x:v>
      </x:c>
      <x:c r="B34" s="8" t="str">
        <x:f>'원본_Card'!C29</x:f>
        <x:v>단풍꼬리</x:v>
      </x:c>
      <x:c r="C34" s="8" t="n">
        <x:f>'원본_Card'!E29</x:f>
        <x:v>6</x:v>
      </x:c>
      <x:c r="D34" s="8" t="n">
        <x:f>C34+'원본_Card'!J29</x:f>
        <x:v>8</x:v>
      </x:c>
      <x:c r="E34" s="8" t="n">
        <x:f>D34+'원본_Card'!K29</x:f>
        <x:v>10</x:v>
      </x:c>
      <x:c r="F34" s="8" t="n">
        <x:f>E34+'원본_Card'!L29</x:f>
        <x:v>20</x:v>
      </x:c>
      <x:c r="G34" s="8" t="str">
        <x:f>'원본_Card'!N29</x:f>
        <x:v>Rare</x:v>
      </x:c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30" customHeight="1">
      <x:c r="A35" s="8" t="n">
        <x:f>'원본_Card'!A30</x:f>
        <x:v>29</x:v>
      </x:c>
      <x:c r="B35" s="8" t="str">
        <x:f>'원본_Card'!C30</x:f>
        <x:v>수정뿔루</x:v>
      </x:c>
      <x:c r="C35" s="8" t="n">
        <x:f>'원본_Card'!E30</x:f>
        <x:v>4</x:v>
      </x:c>
      <x:c r="D35" s="8" t="n">
        <x:f>C35+'원본_Card'!J30</x:f>
        <x:v>5</x:v>
      </x:c>
      <x:c r="E35" s="8" t="n">
        <x:f>D35+'원본_Card'!K30</x:f>
        <x:v>7</x:v>
      </x:c>
      <x:c r="F35" s="8" t="n">
        <x:f>E35+'원본_Card'!L30</x:f>
        <x:v>16</x:v>
      </x:c>
      <x:c r="G35" s="8" t="str">
        <x:f>'원본_Card'!N30</x:f>
        <x:v>Rare</x:v>
      </x:c>
      <x:c r="H35" s="8"/>
      <x:c r="I35" s="8"/>
      <x:c r="J35" s="4" t="str">
        <x:v>진입 레벨</x:v>
      </x:c>
      <x:c r="K35" s="4" t="str">
        <x:v>조각 비용</x:v>
      </x:c>
      <x:c r="L35" s="4" t="str">
        <x:v>평균 HP 증가</x:v>
      </x:c>
      <x:c r="M35" s="4" t="str">
        <x:v>HP / 조각</x:v>
      </x:c>
      <x:c r="N35" s="8"/>
      <x:c r="O35" s="8"/>
      <x:c r="P35" s="8"/>
      <x:c r="Q35" s="8"/>
      <x:c r="R35" s="8"/>
    </x:row>
    <x:row r="36" ht="23" customHeight="1">
      <x:c r="A36" s="8" t="n">
        <x:f>'원본_Card'!A31</x:f>
        <x:v>30</x:v>
      </x:c>
      <x:c r="B36" s="8" t="str">
        <x:f>'원본_Card'!C31</x:f>
        <x:v>폭탄밤</x:v>
      </x:c>
      <x:c r="C36" s="8" t="n">
        <x:f>'원본_Card'!E31</x:f>
        <x:v>4</x:v>
      </x:c>
      <x:c r="D36" s="8" t="n">
        <x:f>C36+'원본_Card'!J31</x:f>
        <x:v>6</x:v>
      </x:c>
      <x:c r="E36" s="8" t="n">
        <x:f>D36+'원본_Card'!K31</x:f>
        <x:v>8</x:v>
      </x:c>
      <x:c r="F36" s="8" t="n">
        <x:f>E36+'원본_Card'!L31</x:f>
        <x:v>17</x:v>
      </x:c>
      <x:c r="G36" s="8" t="str">
        <x:f>'원본_Card'!N31</x:f>
        <x:v>Rare</x:v>
      </x:c>
      <x:c r="H36" s="8"/>
      <x:c r="I36" s="8"/>
      <x:c r="J36" s="8" t="n">
        <x:v>2</x:v>
      </x:c>
      <x:c r="K36" s="8" t="n">
        <x:f>VLOOKUP(J36,'원본_CardEnhance'!$B$2:$D$4,3,FALSE)</x:f>
        <x:v>10</x:v>
      </x:c>
      <x:c r="L36" s="8" t="n">
        <x:f>AVERAGE('원본_Card'!J2:J41)</x:f>
        <x:v>1.825</x:v>
      </x:c>
      <x:c r="M36" s="14" t="n">
        <x:f>L36/K36</x:f>
        <x:v>0.1825</x:v>
      </x:c>
      <x:c r="N36" s="8"/>
      <x:c r="O36" s="8"/>
      <x:c r="P36" s="8"/>
      <x:c r="Q36" s="8"/>
      <x:c r="R36" s="8"/>
    </x:row>
    <x:row r="37" ht="23" customHeight="1">
      <x:c r="A37" s="8" t="n">
        <x:f>'원본_Card'!A32</x:f>
        <x:v>31</x:v>
      </x:c>
      <x:c r="B37" s="8" t="str">
        <x:f>'원본_Card'!C32</x:f>
        <x:v>크리스탈혼</x:v>
      </x:c>
      <x:c r="C37" s="8" t="n">
        <x:f>'원본_Card'!E32</x:f>
        <x:v>5</x:v>
      </x:c>
      <x:c r="D37" s="8" t="n">
        <x:f>C37+'원본_Card'!J32</x:f>
        <x:v>7</x:v>
      </x:c>
      <x:c r="E37" s="8" t="n">
        <x:f>D37+'원본_Card'!K32</x:f>
        <x:v>9</x:v>
      </x:c>
      <x:c r="F37" s="8" t="n">
        <x:f>E37+'원본_Card'!L32</x:f>
        <x:v>18</x:v>
      </x:c>
      <x:c r="G37" s="8" t="str">
        <x:f>'원본_Card'!N32</x:f>
        <x:v>Arcane</x:v>
      </x:c>
      <x:c r="H37" s="8"/>
      <x:c r="I37" s="8"/>
      <x:c r="J37" s="8" t="n">
        <x:v>3</x:v>
      </x:c>
      <x:c r="K37" s="8" t="n">
        <x:f>VLOOKUP(J37,'원본_CardEnhance'!$B$2:$D$4,3,FALSE)</x:f>
        <x:v>20</x:v>
      </x:c>
      <x:c r="L37" s="8" t="n">
        <x:f>AVERAGE('원본_Card'!K2:K41)</x:f>
        <x:v>1.925</x:v>
      </x:c>
      <x:c r="M37" s="14" t="n">
        <x:f>L37/K37</x:f>
        <x:v>0.09625</x:v>
      </x:c>
      <x:c r="N37" s="8"/>
      <x:c r="O37" s="8"/>
      <x:c r="P37" s="8"/>
      <x:c r="Q37" s="8"/>
      <x:c r="R37" s="8"/>
    </x:row>
    <x:row r="38" ht="23" customHeight="1">
      <x:c r="A38" s="8" t="n">
        <x:f>'원본_Card'!A33</x:f>
        <x:v>32</x:v>
      </x:c>
      <x:c r="B38" s="8" t="str">
        <x:f>'원본_Card'!C33</x:f>
        <x:v>별꼬리</x:v>
      </x:c>
      <x:c r="C38" s="8" t="n">
        <x:f>'원본_Card'!E33</x:f>
        <x:v>4</x:v>
      </x:c>
      <x:c r="D38" s="8" t="n">
        <x:f>C38+'원본_Card'!J33</x:f>
        <x:v>6</x:v>
      </x:c>
      <x:c r="E38" s="8" t="n">
        <x:f>D38+'원본_Card'!K33</x:f>
        <x:v>8</x:v>
      </x:c>
      <x:c r="F38" s="8" t="n">
        <x:f>E38+'원본_Card'!L33</x:f>
        <x:v>17</x:v>
      </x:c>
      <x:c r="G38" s="8" t="str">
        <x:f>'원본_Card'!N33</x:f>
        <x:v>Arcane</x:v>
      </x:c>
      <x:c r="H38" s="8"/>
      <x:c r="I38" s="8"/>
      <x:c r="J38" s="8" t="n">
        <x:v>4</x:v>
      </x:c>
      <x:c r="K38" s="8" t="n">
        <x:f>VLOOKUP(J38,'원본_CardEnhance'!$B$2:$D$4,3,FALSE)</x:f>
        <x:v>150</x:v>
      </x:c>
      <x:c r="L38" s="8" t="n">
        <x:f>AVERAGE('원본_Card'!L2:L41)</x:f>
        <x:v>8.75</x:v>
      </x:c>
      <x:c r="M38" s="14" t="n">
        <x:f>L38/K38</x:f>
        <x:v>0.058333333333333334</x:v>
      </x:c>
      <x:c r="N38" s="8"/>
      <x:c r="O38" s="8"/>
      <x:c r="P38" s="8"/>
      <x:c r="Q38" s="8"/>
      <x:c r="R38" s="8"/>
    </x:row>
    <x:row r="39" ht="23" customHeight="1">
      <x:c r="A39" s="8" t="n">
        <x:f>'원본_Card'!A34</x:f>
        <x:v>33</x:v>
      </x:c>
      <x:c r="B39" s="8" t="str">
        <x:f>'원본_Card'!C34</x:f>
        <x:v>루미엘크</x:v>
      </x:c>
      <x:c r="C39" s="8" t="n">
        <x:f>'원본_Card'!E34</x:f>
        <x:v>3</x:v>
      </x:c>
      <x:c r="D39" s="8" t="n">
        <x:f>C39+'원본_Card'!J34</x:f>
        <x:v>5</x:v>
      </x:c>
      <x:c r="E39" s="8" t="n">
        <x:f>D39+'원본_Card'!K34</x:f>
        <x:v>7</x:v>
      </x:c>
      <x:c r="F39" s="8" t="n">
        <x:f>E39+'원본_Card'!L34</x:f>
        <x:v>16</x:v>
      </x:c>
      <x:c r="G39" s="8" t="str">
        <x:f>'원본_Card'!N34</x:f>
        <x:v>Rare</x:v>
      </x:c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 t="n">
        <x:f>'원본_Card'!A35</x:f>
        <x:v>34</x:v>
      </x:c>
      <x:c r="B40" s="8" t="str">
        <x:f>'원본_Card'!C35</x:f>
        <x:v>마그몰</x:v>
      </x:c>
      <x:c r="C40" s="8" t="n">
        <x:f>'원본_Card'!E35</x:f>
        <x:v>5</x:v>
      </x:c>
      <x:c r="D40" s="8" t="n">
        <x:f>C40+'원본_Card'!J35</x:f>
        <x:v>8</x:v>
      </x:c>
      <x:c r="E40" s="8" t="n">
        <x:f>D40+'원본_Card'!K35</x:f>
        <x:v>10</x:v>
      </x:c>
      <x:c r="F40" s="8" t="n">
        <x:f>E40+'원본_Card'!L35</x:f>
        <x:v>18</x:v>
      </x:c>
      <x:c r="G40" s="8" t="str">
        <x:f>'원본_Card'!N35</x:f>
        <x:v>Rare</x:v>
      </x:c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 t="n">
        <x:f>'원본_Card'!A36</x:f>
        <x:v>35</x:v>
      </x:c>
      <x:c r="B41" s="8" t="str">
        <x:f>'원본_Card'!C36</x:f>
        <x:v>문바이트</x:v>
      </x:c>
      <x:c r="C41" s="8" t="n">
        <x:f>'원본_Card'!E36</x:f>
        <x:v>4</x:v>
      </x:c>
      <x:c r="D41" s="8" t="n">
        <x:f>C41+'원본_Card'!J36</x:f>
        <x:v>6</x:v>
      </x:c>
      <x:c r="E41" s="8" t="n">
        <x:f>D41+'원본_Card'!K36</x:f>
        <x:v>8</x:v>
      </x:c>
      <x:c r="F41" s="8" t="n">
        <x:f>E41+'원본_Card'!L36</x:f>
        <x:v>16</x:v>
      </x:c>
      <x:c r="G41" s="8" t="str">
        <x:f>'원본_Card'!N36</x:f>
        <x:v>Common</x:v>
      </x:c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 t="n">
        <x:f>'원본_Card'!A37</x:f>
        <x:v>36</x:v>
      </x:c>
      <x:c r="B42" s="8" t="str">
        <x:f>'원본_Card'!C37</x:f>
        <x:v>틱톡곤</x:v>
      </x:c>
      <x:c r="C42" s="8" t="n">
        <x:f>'원본_Card'!E37</x:f>
        <x:v>4</x:v>
      </x:c>
      <x:c r="D42" s="8" t="n">
        <x:f>C42+'원본_Card'!J37</x:f>
        <x:v>6</x:v>
      </x:c>
      <x:c r="E42" s="8" t="n">
        <x:f>D42+'원본_Card'!K37</x:f>
        <x:v>8</x:v>
      </x:c>
      <x:c r="F42" s="8" t="n">
        <x:f>E42+'원본_Card'!L37</x:f>
        <x:v>17</x:v>
      </x:c>
      <x:c r="G42" s="8" t="str">
        <x:f>'원본_Card'!N37</x:f>
        <x:v>Arcane</x:v>
      </x:c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 t="n">
        <x:f>'원본_Card'!A38</x:f>
        <x:v>37</x:v>
      </x:c>
      <x:c r="B43" s="8" t="str">
        <x:f>'원본_Card'!C38</x:f>
        <x:v>마그네토스</x:v>
      </x:c>
      <x:c r="C43" s="8" t="n">
        <x:f>'원본_Card'!E38</x:f>
        <x:v>4</x:v>
      </x:c>
      <x:c r="D43" s="8" t="n">
        <x:f>C43+'원본_Card'!J38</x:f>
        <x:v>6</x:v>
      </x:c>
      <x:c r="E43" s="8" t="n">
        <x:f>D43+'원본_Card'!K38</x:f>
        <x:v>8</x:v>
      </x:c>
      <x:c r="F43" s="8" t="n">
        <x:f>E43+'원본_Card'!L38</x:f>
        <x:v>17</x:v>
      </x:c>
      <x:c r="G43" s="8" t="str">
        <x:f>'원본_Card'!N38</x:f>
        <x:v>Rare</x:v>
      </x:c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 t="n">
        <x:f>'원본_Card'!A39</x:f>
        <x:v>38</x:v>
      </x:c>
      <x:c r="B44" s="8" t="str">
        <x:f>'원본_Card'!C39</x:f>
        <x:v>크랙몬</x:v>
      </x:c>
      <x:c r="C44" s="8" t="n">
        <x:f>'원본_Card'!E39</x:f>
        <x:v>5</x:v>
      </x:c>
      <x:c r="D44" s="8" t="n">
        <x:f>C44+'원본_Card'!J39</x:f>
        <x:v>8</x:v>
      </x:c>
      <x:c r="E44" s="8" t="n">
        <x:f>D44+'원본_Card'!K39</x:f>
        <x:v>10</x:v>
      </x:c>
      <x:c r="F44" s="8" t="n">
        <x:f>E44+'원본_Card'!L39</x:f>
        <x:v>18</x:v>
      </x:c>
      <x:c r="G44" s="8" t="str">
        <x:f>'원본_Card'!N39</x:f>
        <x:v>Arcane</x:v>
      </x:c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 t="n">
        <x:f>'원본_Card'!A40</x:f>
        <x:v>39</x:v>
      </x:c>
      <x:c r="B45" s="8" t="str">
        <x:f>'원본_Card'!C40</x:f>
        <x:v>라이고르</x:v>
      </x:c>
      <x:c r="C45" s="8" t="n">
        <x:f>'원본_Card'!E40</x:f>
        <x:v>6</x:v>
      </x:c>
      <x:c r="D45" s="8" t="n">
        <x:f>C45+'원본_Card'!J40</x:f>
        <x:v>8</x:v>
      </x:c>
      <x:c r="E45" s="8" t="n">
        <x:f>D45+'원본_Card'!K40</x:f>
        <x:v>10</x:v>
      </x:c>
      <x:c r="F45" s="8" t="n">
        <x:f>E45+'원본_Card'!L40</x:f>
        <x:v>19</x:v>
      </x:c>
      <x:c r="G45" s="8" t="str">
        <x:f>'원본_Card'!N40</x:f>
        <x:v>Mythic</x:v>
      </x:c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 t="n">
        <x:f>'원본_Card'!A41</x:f>
        <x:v>40</x:v>
      </x:c>
      <x:c r="B46" s="8" t="str">
        <x:f>'원본_Card'!C41</x:f>
        <x:v>피닉시아</x:v>
      </x:c>
      <x:c r="C46" s="8" t="n">
        <x:f>'원본_Card'!E41</x:f>
        <x:v>5</x:v>
      </x:c>
      <x:c r="D46" s="8" t="n">
        <x:f>C46+'원본_Card'!J41</x:f>
        <x:v>7</x:v>
      </x:c>
      <x:c r="E46" s="8" t="n">
        <x:f>D46+'원본_Card'!K41</x:f>
        <x:v>9</x:v>
      </x:c>
      <x:c r="F46" s="8" t="n">
        <x:f>E46+'원본_Card'!L41</x:f>
        <x:v>19</x:v>
      </x:c>
      <x:c r="G46" s="8" t="str">
        <x:f>'원본_Card'!N41</x:f>
        <x:v>Mythic</x:v>
      </x:c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pageMargins left="0.7" right="0.7" top="0.75" bottom="0.75" header="0.3" footer="0.3"/>
  <x:drawing xmlns:r="http://schemas.openxmlformats.org/officeDocument/2006/relationships" r:id="Rc5799d0bcc784a20"/>
</x:worksheet>
</file>

<file path=xl/worksheets/sheet3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27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모험 난이도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상대 HP는 덱 6장 합계입니다. 기준 덱과의 HP 차이는 승률을 뜻하지 않습니다.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30" customHeight="1">
      <x:c r="A6" s="4" t="str">
        <x:v>순서</x:v>
      </x:c>
      <x:c r="B6" s="4" t="str">
        <x:v>정점</x:v>
      </x:c>
      <x:c r="C6" s="4" t="str">
        <x:v>챕터</x:v>
      </x:c>
      <x:c r="D6" s="4" t="str">
        <x:v>입장 점수</x:v>
      </x:c>
      <x:c r="E6" s="4" t="str">
        <x:v>상대 Lv</x:v>
      </x:c>
      <x:c r="F6" s="4" t="str">
        <x:v>상대 덱</x:v>
      </x:c>
      <x:c r="G6" s="4" t="str">
        <x:v>상대 HP</x:v>
      </x:c>
      <x:c r="H6" s="4" t="str">
        <x:v>기준 덱 HP</x:v>
      </x:c>
      <x:c r="I6" s="4" t="str">
        <x:v>HP 비율</x:v>
      </x:c>
      <x:c r="J6" s="8"/>
      <x:c r="K6" s="8"/>
      <x:c r="L6" s="8"/>
      <x:c r="M6" s="8"/>
      <x:c r="N6" s="8"/>
      <x:c r="O6" s="8"/>
      <x:c r="P6" s="8"/>
      <x:c r="Q6" s="8"/>
      <x:c r="R6" s="8"/>
    </x:row>
    <x:row r="7" ht="23" customHeight="1">
      <x:c r="A7" s="8" t="n">
        <x:v>1</x:v>
      </x:c>
      <x:c r="B7" s="8" t="str">
        <x:f>'원본_AdventureChapter'!C2</x:f>
        <x:v>node_01</x:v>
      </x:c>
      <x:c r="C7" s="8" t="str">
        <x:f>'원본_AdventureChapter'!B2</x:f>
        <x:v>chapter_01</x:v>
      </x:c>
      <x:c r="D7" s="8" t="n">
        <x:f>'원본_AdventureChapter'!F2</x:f>
        <x:v>0</x:v>
      </x:c>
      <x:c r="E7" s="8" t="n">
        <x:f>'원본_AdventureChapter'!H2</x:f>
        <x:v>1</x:v>
      </x:c>
      <x:c r="F7" s="8" t="str">
        <x:f>'원본_AdventureChapter'!G2</x:f>
        <x:v>adventure_node_01</x:v>
      </x:c>
      <x:c r="G7" s="8" t="n">
        <x:f>VLOOKUP(VLOOKUP(F7,'원본_AIDeck'!$B$2:$N$47,8,FALSE),'카드성장'!$A$7:$G$46,E7+2,FALSE)+VLOOKUP(VLOOKUP(F7,'원본_AIDeck'!$B$2:$N$47,9,FALSE),'카드성장'!$A$7:$G$46,E7+2,FALSE)+VLOOKUP(VLOOKUP(F7,'원본_AIDeck'!$B$2:$N$47,10,FALSE),'카드성장'!$A$7:$G$46,E7+2,FALSE)+VLOOKUP(VLOOKUP(F7,'원본_AIDeck'!$B$2:$N$47,11,FALSE),'카드성장'!$A$7:$G$46,E7+2,FALSE)+VLOOKUP(VLOOKUP(F7,'원본_AIDeck'!$B$2:$N$47,12,FALSE),'카드성장'!$A$7:$G$46,E7+2,FALSE)+VLOOKUP(VLOOKUP(F7,'원본_AIDeck'!$B$2:$N$47,13,FALSE),'카드성장'!$A$7:$G$46,E7+2,FALSE)</x:f>
        <x:v>25</x:v>
      </x:c>
      <x:c r="H7" s="8" t="n">
        <x:f>'입력'!$F$15</x:f>
        <x:v>45</x:v>
      </x:c>
      <x:c r="I7" s="15" t="n">
        <x:f>G7/H7</x:f>
        <x:v>0.5555555555555556</x:v>
      </x:c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 t="n">
        <x:v>2</x:v>
      </x:c>
      <x:c r="B8" s="8" t="str">
        <x:f>'원본_AdventureChapter'!C3</x:f>
        <x:v>node_02</x:v>
      </x:c>
      <x:c r="C8" s="8" t="str">
        <x:f>'원본_AdventureChapter'!B3</x:f>
        <x:v>chapter_01</x:v>
      </x:c>
      <x:c r="D8" s="8" t="n">
        <x:f>'원본_AdventureChapter'!F3</x:f>
        <x:v>0</x:v>
      </x:c>
      <x:c r="E8" s="8" t="n">
        <x:f>'원본_AdventureChapter'!H3</x:f>
        <x:v>2</x:v>
      </x:c>
      <x:c r="F8" s="8" t="str">
        <x:f>'원본_AdventureChapter'!G3</x:f>
        <x:v>adventure_node_02</x:v>
      </x:c>
      <x:c r="G8" s="8" t="n">
        <x:f>VLOOKUP(VLOOKUP(F8,'원본_AIDeck'!$B$2:$N$47,8,FALSE),'카드성장'!$A$7:$G$46,E8+2,FALSE)+VLOOKUP(VLOOKUP(F8,'원본_AIDeck'!$B$2:$N$47,9,FALSE),'카드성장'!$A$7:$G$46,E8+2,FALSE)+VLOOKUP(VLOOKUP(F8,'원본_AIDeck'!$B$2:$N$47,10,FALSE),'카드성장'!$A$7:$G$46,E8+2,FALSE)+VLOOKUP(VLOOKUP(F8,'원본_AIDeck'!$B$2:$N$47,11,FALSE),'카드성장'!$A$7:$G$46,E8+2,FALSE)+VLOOKUP(VLOOKUP(F8,'원본_AIDeck'!$B$2:$N$47,12,FALSE),'카드성장'!$A$7:$G$46,E8+2,FALSE)+VLOOKUP(VLOOKUP(F8,'원본_AIDeck'!$B$2:$N$47,13,FALSE),'카드성장'!$A$7:$G$46,E8+2,FALSE)</x:f>
        <x:v>33</x:v>
      </x:c>
      <x:c r="H8" s="8" t="n">
        <x:f>'입력'!$F$15</x:f>
        <x:v>45</x:v>
      </x:c>
      <x:c r="I8" s="15" t="n">
        <x:f>G8/H8</x:f>
        <x:v>0.7333333333333333</x:v>
      </x:c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 t="n">
        <x:v>3</x:v>
      </x:c>
      <x:c r="B9" s="8" t="str">
        <x:f>'원본_AdventureChapter'!C4</x:f>
        <x:v>node_03</x:v>
      </x:c>
      <x:c r="C9" s="8" t="str">
        <x:f>'원본_AdventureChapter'!B4</x:f>
        <x:v>chapter_01</x:v>
      </x:c>
      <x:c r="D9" s="8" t="n">
        <x:f>'원본_AdventureChapter'!F4</x:f>
        <x:v>0</x:v>
      </x:c>
      <x:c r="E9" s="8" t="n">
        <x:f>'원본_AdventureChapter'!H4</x:f>
        <x:v>2</x:v>
      </x:c>
      <x:c r="F9" s="8" t="str">
        <x:f>'원본_AdventureChapter'!G4</x:f>
        <x:v>adventure_node_03</x:v>
      </x:c>
      <x:c r="G9" s="8" t="n">
        <x:f>VLOOKUP(VLOOKUP(F9,'원본_AIDeck'!$B$2:$N$47,8,FALSE),'카드성장'!$A$7:$G$46,E9+2,FALSE)+VLOOKUP(VLOOKUP(F9,'원본_AIDeck'!$B$2:$N$47,9,FALSE),'카드성장'!$A$7:$G$46,E9+2,FALSE)+VLOOKUP(VLOOKUP(F9,'원본_AIDeck'!$B$2:$N$47,10,FALSE),'카드성장'!$A$7:$G$46,E9+2,FALSE)+VLOOKUP(VLOOKUP(F9,'원본_AIDeck'!$B$2:$N$47,11,FALSE),'카드성장'!$A$7:$G$46,E9+2,FALSE)+VLOOKUP(VLOOKUP(F9,'원본_AIDeck'!$B$2:$N$47,12,FALSE),'카드성장'!$A$7:$G$46,E9+2,FALSE)+VLOOKUP(VLOOKUP(F9,'원본_AIDeck'!$B$2:$N$47,13,FALSE),'카드성장'!$A$7:$G$46,E9+2,FALSE)</x:f>
        <x:v>35</x:v>
      </x:c>
      <x:c r="H9" s="8" t="n">
        <x:f>'입력'!$F$15</x:f>
        <x:v>45</x:v>
      </x:c>
      <x:c r="I9" s="15" t="n">
        <x:f>G9/H9</x:f>
        <x:v>0.7777777777777778</x:v>
      </x:c>
      <x:c r="J9" s="8"/>
      <x:c r="K9" s="8"/>
      <x:c r="L9" s="8"/>
      <x:c r="M9" s="8"/>
      <x:c r="N9" s="8"/>
      <x:c r="O9" s="8"/>
      <x:c r="P9" s="8"/>
      <x:c r="Q9" s="8"/>
      <x:c r="R9" s="8"/>
    </x:row>
    <x:row r="10" ht="23" customHeight="1">
      <x:c r="A10" s="8" t="n">
        <x:v>4</x:v>
      </x:c>
      <x:c r="B10" s="8" t="str">
        <x:f>'원본_AdventureChapter'!C5</x:f>
        <x:v>node_04</x:v>
      </x:c>
      <x:c r="C10" s="8" t="str">
        <x:f>'원본_AdventureChapter'!B5</x:f>
        <x:v>chapter_01</x:v>
      </x:c>
      <x:c r="D10" s="8" t="n">
        <x:f>'원본_AdventureChapter'!F5</x:f>
        <x:v>0</x:v>
      </x:c>
      <x:c r="E10" s="8" t="n">
        <x:f>'원본_AdventureChapter'!H5</x:f>
        <x:v>3</x:v>
      </x:c>
      <x:c r="F10" s="8" t="str">
        <x:f>'원본_AdventureChapter'!G5</x:f>
        <x:v>adventure_node_04</x:v>
      </x:c>
      <x:c r="G10" s="8" t="n">
        <x:f>VLOOKUP(VLOOKUP(F10,'원본_AIDeck'!$B$2:$N$47,8,FALSE),'카드성장'!$A$7:$G$46,E10+2,FALSE)+VLOOKUP(VLOOKUP(F10,'원본_AIDeck'!$B$2:$N$47,9,FALSE),'카드성장'!$A$7:$G$46,E10+2,FALSE)+VLOOKUP(VLOOKUP(F10,'원본_AIDeck'!$B$2:$N$47,10,FALSE),'카드성장'!$A$7:$G$46,E10+2,FALSE)+VLOOKUP(VLOOKUP(F10,'원본_AIDeck'!$B$2:$N$47,11,FALSE),'카드성장'!$A$7:$G$46,E10+2,FALSE)+VLOOKUP(VLOOKUP(F10,'원본_AIDeck'!$B$2:$N$47,12,FALSE),'카드성장'!$A$7:$G$46,E10+2,FALSE)+VLOOKUP(VLOOKUP(F10,'원본_AIDeck'!$B$2:$N$47,13,FALSE),'카드성장'!$A$7:$G$46,E10+2,FALSE)</x:f>
        <x:v>46</x:v>
      </x:c>
      <x:c r="H10" s="8" t="n">
        <x:f>'입력'!$F$15</x:f>
        <x:v>45</x:v>
      </x:c>
      <x:c r="I10" s="15" t="n">
        <x:f>G10/H10</x:f>
        <x:v>1.0222222222222221</x:v>
      </x:c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n">
        <x:v>5</x:v>
      </x:c>
      <x:c r="B11" s="8" t="str">
        <x:f>'원본_AdventureChapter'!C6</x:f>
        <x:v>node_05</x:v>
      </x:c>
      <x:c r="C11" s="8" t="str">
        <x:f>'원본_AdventureChapter'!B6</x:f>
        <x:v>chapter_01</x:v>
      </x:c>
      <x:c r="D11" s="8" t="n">
        <x:f>'원본_AdventureChapter'!F6</x:f>
        <x:v>0</x:v>
      </x:c>
      <x:c r="E11" s="8" t="n">
        <x:f>'원본_AdventureChapter'!H6</x:f>
        <x:v>3</x:v>
      </x:c>
      <x:c r="F11" s="8" t="str">
        <x:f>'원본_AdventureChapter'!G6</x:f>
        <x:v>adventure_node_05</x:v>
      </x:c>
      <x:c r="G11" s="8" t="n">
        <x:f>VLOOKUP(VLOOKUP(F11,'원본_AIDeck'!$B$2:$N$47,8,FALSE),'카드성장'!$A$7:$G$46,E11+2,FALSE)+VLOOKUP(VLOOKUP(F11,'원본_AIDeck'!$B$2:$N$47,9,FALSE),'카드성장'!$A$7:$G$46,E11+2,FALSE)+VLOOKUP(VLOOKUP(F11,'원본_AIDeck'!$B$2:$N$47,10,FALSE),'카드성장'!$A$7:$G$46,E11+2,FALSE)+VLOOKUP(VLOOKUP(F11,'원본_AIDeck'!$B$2:$N$47,11,FALSE),'카드성장'!$A$7:$G$46,E11+2,FALSE)+VLOOKUP(VLOOKUP(F11,'원본_AIDeck'!$B$2:$N$47,12,FALSE),'카드성장'!$A$7:$G$46,E11+2,FALSE)+VLOOKUP(VLOOKUP(F11,'원본_AIDeck'!$B$2:$N$47,13,FALSE),'카드성장'!$A$7:$G$46,E11+2,FALSE)</x:f>
        <x:v>48</x:v>
      </x:c>
      <x:c r="H11" s="8" t="n">
        <x:f>'입력'!$F$15</x:f>
        <x:v>45</x:v>
      </x:c>
      <x:c r="I11" s="15" t="n">
        <x:f>G11/H11</x:f>
        <x:v>1.0666666666666667</x:v>
      </x:c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n">
        <x:v>6</x:v>
      </x:c>
      <x:c r="B12" s="8" t="str">
        <x:f>'원본_AdventureChapter'!C7</x:f>
        <x:v>node_06</x:v>
      </x:c>
      <x:c r="C12" s="8" t="str">
        <x:f>'원본_AdventureChapter'!B7</x:f>
        <x:v>chapter_01</x:v>
      </x:c>
      <x:c r="D12" s="8" t="n">
        <x:f>'원본_AdventureChapter'!F7</x:f>
        <x:v>0</x:v>
      </x:c>
      <x:c r="E12" s="8" t="n">
        <x:f>'원본_AdventureChapter'!H7</x:f>
        <x:v>3</x:v>
      </x:c>
      <x:c r="F12" s="8" t="str">
        <x:f>'원본_AdventureChapter'!G7</x:f>
        <x:v>adventure_node_06</x:v>
      </x:c>
      <x:c r="G12" s="8" t="n">
        <x:f>VLOOKUP(VLOOKUP(F12,'원본_AIDeck'!$B$2:$N$47,8,FALSE),'카드성장'!$A$7:$G$46,E12+2,FALSE)+VLOOKUP(VLOOKUP(F12,'원본_AIDeck'!$B$2:$N$47,9,FALSE),'카드성장'!$A$7:$G$46,E12+2,FALSE)+VLOOKUP(VLOOKUP(F12,'원본_AIDeck'!$B$2:$N$47,10,FALSE),'카드성장'!$A$7:$G$46,E12+2,FALSE)+VLOOKUP(VLOOKUP(F12,'원본_AIDeck'!$B$2:$N$47,11,FALSE),'카드성장'!$A$7:$G$46,E12+2,FALSE)+VLOOKUP(VLOOKUP(F12,'원본_AIDeck'!$B$2:$N$47,12,FALSE),'카드성장'!$A$7:$G$46,E12+2,FALSE)+VLOOKUP(VLOOKUP(F12,'원본_AIDeck'!$B$2:$N$47,13,FALSE),'카드성장'!$A$7:$G$46,E12+2,FALSE)</x:f>
        <x:v>53</x:v>
      </x:c>
      <x:c r="H12" s="8" t="n">
        <x:f>'입력'!$F$15</x:f>
        <x:v>45</x:v>
      </x:c>
      <x:c r="I12" s="15" t="n">
        <x:f>G12/H12</x:f>
        <x:v>1.1777777777777778</x:v>
      </x:c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n">
        <x:v>7</x:v>
      </x:c>
      <x:c r="B13" s="8" t="str">
        <x:f>'원본_AdventureChapter'!C8</x:f>
        <x:v>node_07</x:v>
      </x:c>
      <x:c r="C13" s="8" t="str">
        <x:f>'원본_AdventureChapter'!B8</x:f>
        <x:v>chapter_02</x:v>
      </x:c>
      <x:c r="D13" s="8" t="n">
        <x:f>'원본_AdventureChapter'!F8</x:f>
        <x:v>260</x:v>
      </x:c>
      <x:c r="E13" s="8" t="n">
        <x:f>'원본_AdventureChapter'!H8</x:f>
        <x:v>3</x:v>
      </x:c>
      <x:c r="F13" s="8" t="str">
        <x:f>'원본_AdventureChapter'!G8</x:f>
        <x:v>adventure_node_07</x:v>
      </x:c>
      <x:c r="G13" s="8" t="n">
        <x:f>VLOOKUP(VLOOKUP(F13,'원본_AIDeck'!$B$2:$N$47,8,FALSE),'카드성장'!$A$7:$G$46,E13+2,FALSE)+VLOOKUP(VLOOKUP(F13,'원본_AIDeck'!$B$2:$N$47,9,FALSE),'카드성장'!$A$7:$G$46,E13+2,FALSE)+VLOOKUP(VLOOKUP(F13,'원본_AIDeck'!$B$2:$N$47,10,FALSE),'카드성장'!$A$7:$G$46,E13+2,FALSE)+VLOOKUP(VLOOKUP(F13,'원본_AIDeck'!$B$2:$N$47,11,FALSE),'카드성장'!$A$7:$G$46,E13+2,FALSE)+VLOOKUP(VLOOKUP(F13,'원본_AIDeck'!$B$2:$N$47,12,FALSE),'카드성장'!$A$7:$G$46,E13+2,FALSE)+VLOOKUP(VLOOKUP(F13,'원본_AIDeck'!$B$2:$N$47,13,FALSE),'카드성장'!$A$7:$G$46,E13+2,FALSE)</x:f>
        <x:v>48</x:v>
      </x:c>
      <x:c r="H13" s="8" t="n">
        <x:f>'입력'!$F$15</x:f>
        <x:v>45</x:v>
      </x:c>
      <x:c r="I13" s="15" t="n">
        <x:f>G13/H13</x:f>
        <x:v>1.0666666666666667</x:v>
      </x:c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 t="n">
        <x:v>8</x:v>
      </x:c>
      <x:c r="B14" s="8" t="str">
        <x:f>'원본_AdventureChapter'!C9</x:f>
        <x:v>node_08</x:v>
      </x:c>
      <x:c r="C14" s="8" t="str">
        <x:f>'원본_AdventureChapter'!B9</x:f>
        <x:v>chapter_02</x:v>
      </x:c>
      <x:c r="D14" s="8" t="n">
        <x:f>'원본_AdventureChapter'!F9</x:f>
        <x:v>260</x:v>
      </x:c>
      <x:c r="E14" s="8" t="n">
        <x:f>'원본_AdventureChapter'!H9</x:f>
        <x:v>3</x:v>
      </x:c>
      <x:c r="F14" s="8" t="str">
        <x:f>'원본_AdventureChapter'!G9</x:f>
        <x:v>adventure_node_08</x:v>
      </x:c>
      <x:c r="G14" s="8" t="n">
        <x:f>VLOOKUP(VLOOKUP(F14,'원본_AIDeck'!$B$2:$N$47,8,FALSE),'카드성장'!$A$7:$G$46,E14+2,FALSE)+VLOOKUP(VLOOKUP(F14,'원본_AIDeck'!$B$2:$N$47,9,FALSE),'카드성장'!$A$7:$G$46,E14+2,FALSE)+VLOOKUP(VLOOKUP(F14,'원본_AIDeck'!$B$2:$N$47,10,FALSE),'카드성장'!$A$7:$G$46,E14+2,FALSE)+VLOOKUP(VLOOKUP(F14,'원본_AIDeck'!$B$2:$N$47,11,FALSE),'카드성장'!$A$7:$G$46,E14+2,FALSE)+VLOOKUP(VLOOKUP(F14,'원본_AIDeck'!$B$2:$N$47,12,FALSE),'카드성장'!$A$7:$G$46,E14+2,FALSE)+VLOOKUP(VLOOKUP(F14,'원본_AIDeck'!$B$2:$N$47,13,FALSE),'카드성장'!$A$7:$G$46,E14+2,FALSE)</x:f>
        <x:v>50</x:v>
      </x:c>
      <x:c r="H14" s="8" t="n">
        <x:f>'입력'!$F$15</x:f>
        <x:v>45</x:v>
      </x:c>
      <x:c r="I14" s="15" t="n">
        <x:f>G14/H14</x:f>
        <x:v>1.1111111111111112</x:v>
      </x:c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 t="n">
        <x:v>9</x:v>
      </x:c>
      <x:c r="B15" s="8" t="str">
        <x:f>'원본_AdventureChapter'!C10</x:f>
        <x:v>node_09</x:v>
      </x:c>
      <x:c r="C15" s="8" t="str">
        <x:f>'원본_AdventureChapter'!B10</x:f>
        <x:v>chapter_02</x:v>
      </x:c>
      <x:c r="D15" s="8" t="n">
        <x:f>'원본_AdventureChapter'!F10</x:f>
        <x:v>260</x:v>
      </x:c>
      <x:c r="E15" s="8" t="n">
        <x:f>'원본_AdventureChapter'!H10</x:f>
        <x:v>3</x:v>
      </x:c>
      <x:c r="F15" s="8" t="str">
        <x:f>'원본_AdventureChapter'!G10</x:f>
        <x:v>adventure_node_09</x:v>
      </x:c>
      <x:c r="G15" s="8" t="n">
        <x:f>VLOOKUP(VLOOKUP(F15,'원본_AIDeck'!$B$2:$N$47,8,FALSE),'카드성장'!$A$7:$G$46,E15+2,FALSE)+VLOOKUP(VLOOKUP(F15,'원본_AIDeck'!$B$2:$N$47,9,FALSE),'카드성장'!$A$7:$G$46,E15+2,FALSE)+VLOOKUP(VLOOKUP(F15,'원본_AIDeck'!$B$2:$N$47,10,FALSE),'카드성장'!$A$7:$G$46,E15+2,FALSE)+VLOOKUP(VLOOKUP(F15,'원본_AIDeck'!$B$2:$N$47,11,FALSE),'카드성장'!$A$7:$G$46,E15+2,FALSE)+VLOOKUP(VLOOKUP(F15,'원본_AIDeck'!$B$2:$N$47,12,FALSE),'카드성장'!$A$7:$G$46,E15+2,FALSE)+VLOOKUP(VLOOKUP(F15,'원본_AIDeck'!$B$2:$N$47,13,FALSE),'카드성장'!$A$7:$G$46,E15+2,FALSE)</x:f>
        <x:v>49</x:v>
      </x:c>
      <x:c r="H15" s="8" t="n">
        <x:f>'입력'!$F$15</x:f>
        <x:v>45</x:v>
      </x:c>
      <x:c r="I15" s="15" t="n">
        <x:f>G15/H15</x:f>
        <x:v>1.0888888888888888</x:v>
      </x:c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 t="n">
        <x:v>10</x:v>
      </x:c>
      <x:c r="B16" s="8" t="str">
        <x:f>'원본_AdventureChapter'!C11</x:f>
        <x:v>node_10</x:v>
      </x:c>
      <x:c r="C16" s="8" t="str">
        <x:f>'원본_AdventureChapter'!B11</x:f>
        <x:v>chapter_02</x:v>
      </x:c>
      <x:c r="D16" s="8" t="n">
        <x:f>'원본_AdventureChapter'!F11</x:f>
        <x:v>260</x:v>
      </x:c>
      <x:c r="E16" s="8" t="n">
        <x:f>'원본_AdventureChapter'!H11</x:f>
        <x:v>3</x:v>
      </x:c>
      <x:c r="F16" s="8" t="str">
        <x:f>'원본_AdventureChapter'!G11</x:f>
        <x:v>adventure_node_10</x:v>
      </x:c>
      <x:c r="G16" s="8" t="n">
        <x:f>VLOOKUP(VLOOKUP(F16,'원본_AIDeck'!$B$2:$N$47,8,FALSE),'카드성장'!$A$7:$G$46,E16+2,FALSE)+VLOOKUP(VLOOKUP(F16,'원본_AIDeck'!$B$2:$N$47,9,FALSE),'카드성장'!$A$7:$G$46,E16+2,FALSE)+VLOOKUP(VLOOKUP(F16,'원본_AIDeck'!$B$2:$N$47,10,FALSE),'카드성장'!$A$7:$G$46,E16+2,FALSE)+VLOOKUP(VLOOKUP(F16,'원본_AIDeck'!$B$2:$N$47,11,FALSE),'카드성장'!$A$7:$G$46,E16+2,FALSE)+VLOOKUP(VLOOKUP(F16,'원본_AIDeck'!$B$2:$N$47,12,FALSE),'카드성장'!$A$7:$G$46,E16+2,FALSE)+VLOOKUP(VLOOKUP(F16,'원본_AIDeck'!$B$2:$N$47,13,FALSE),'카드성장'!$A$7:$G$46,E16+2,FALSE)</x:f>
        <x:v>45</x:v>
      </x:c>
      <x:c r="H16" s="8" t="n">
        <x:f>'입력'!$F$15</x:f>
        <x:v>45</x:v>
      </x:c>
      <x:c r="I16" s="15" t="n">
        <x:f>G16/H16</x:f>
        <x:v>1</x:v>
      </x:c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 t="n">
        <x:v>11</x:v>
      </x:c>
      <x:c r="B17" s="8" t="str">
        <x:f>'원본_AdventureChapter'!C12</x:f>
        <x:v>node_11</x:v>
      </x:c>
      <x:c r="C17" s="8" t="str">
        <x:f>'원본_AdventureChapter'!B12</x:f>
        <x:v>chapter_02</x:v>
      </x:c>
      <x:c r="D17" s="8" t="n">
        <x:f>'원본_AdventureChapter'!F12</x:f>
        <x:v>260</x:v>
      </x:c>
      <x:c r="E17" s="8" t="n">
        <x:f>'원본_AdventureChapter'!H12</x:f>
        <x:v>3</x:v>
      </x:c>
      <x:c r="F17" s="8" t="str">
        <x:f>'원본_AdventureChapter'!G12</x:f>
        <x:v>adventure_node_11</x:v>
      </x:c>
      <x:c r="G17" s="8" t="n">
        <x:f>VLOOKUP(VLOOKUP(F17,'원본_AIDeck'!$B$2:$N$47,8,FALSE),'카드성장'!$A$7:$G$46,E17+2,FALSE)+VLOOKUP(VLOOKUP(F17,'원본_AIDeck'!$B$2:$N$47,9,FALSE),'카드성장'!$A$7:$G$46,E17+2,FALSE)+VLOOKUP(VLOOKUP(F17,'원본_AIDeck'!$B$2:$N$47,10,FALSE),'카드성장'!$A$7:$G$46,E17+2,FALSE)+VLOOKUP(VLOOKUP(F17,'원본_AIDeck'!$B$2:$N$47,11,FALSE),'카드성장'!$A$7:$G$46,E17+2,FALSE)+VLOOKUP(VLOOKUP(F17,'원본_AIDeck'!$B$2:$N$47,12,FALSE),'카드성장'!$A$7:$G$46,E17+2,FALSE)+VLOOKUP(VLOOKUP(F17,'원본_AIDeck'!$B$2:$N$47,13,FALSE),'카드성장'!$A$7:$G$46,E17+2,FALSE)</x:f>
        <x:v>50</x:v>
      </x:c>
      <x:c r="H17" s="8" t="n">
        <x:f>'입력'!$F$15</x:f>
        <x:v>45</x:v>
      </x:c>
      <x:c r="I17" s="15" t="n">
        <x:f>G17/H17</x:f>
        <x:v>1.1111111111111112</x:v>
      </x:c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23" customHeight="1">
      <x:c r="A18" s="8" t="n">
        <x:v>12</x:v>
      </x:c>
      <x:c r="B18" s="8" t="str">
        <x:f>'원본_AdventureChapter'!C13</x:f>
        <x:v>node_12</x:v>
      </x:c>
      <x:c r="C18" s="8" t="str">
        <x:f>'원본_AdventureChapter'!B13</x:f>
        <x:v>chapter_02</x:v>
      </x:c>
      <x:c r="D18" s="8" t="n">
        <x:f>'원본_AdventureChapter'!F13</x:f>
        <x:v>260</x:v>
      </x:c>
      <x:c r="E18" s="8" t="n">
        <x:f>'원본_AdventureChapter'!H13</x:f>
        <x:v>3</x:v>
      </x:c>
      <x:c r="F18" s="8" t="str">
        <x:f>'원본_AdventureChapter'!G13</x:f>
        <x:v>adventure_node_12</x:v>
      </x:c>
      <x:c r="G18" s="8" t="n">
        <x:f>VLOOKUP(VLOOKUP(F18,'원본_AIDeck'!$B$2:$N$47,8,FALSE),'카드성장'!$A$7:$G$46,E18+2,FALSE)+VLOOKUP(VLOOKUP(F18,'원본_AIDeck'!$B$2:$N$47,9,FALSE),'카드성장'!$A$7:$G$46,E18+2,FALSE)+VLOOKUP(VLOOKUP(F18,'원본_AIDeck'!$B$2:$N$47,10,FALSE),'카드성장'!$A$7:$G$46,E18+2,FALSE)+VLOOKUP(VLOOKUP(F18,'원본_AIDeck'!$B$2:$N$47,11,FALSE),'카드성장'!$A$7:$G$46,E18+2,FALSE)+VLOOKUP(VLOOKUP(F18,'원본_AIDeck'!$B$2:$N$47,12,FALSE),'카드성장'!$A$7:$G$46,E18+2,FALSE)+VLOOKUP(VLOOKUP(F18,'원본_AIDeck'!$B$2:$N$47,13,FALSE),'카드성장'!$A$7:$G$46,E18+2,FALSE)</x:f>
        <x:v>53</x:v>
      </x:c>
      <x:c r="H18" s="8" t="n">
        <x:f>'입력'!$F$15</x:f>
        <x:v>45</x:v>
      </x:c>
      <x:c r="I18" s="15" t="n">
        <x:f>G18/H18</x:f>
        <x:v>1.1777777777777778</x:v>
      </x:c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n">
        <x:v>13</x:v>
      </x:c>
      <x:c r="B19" s="8" t="str">
        <x:f>'원본_AdventureChapter'!C14</x:f>
        <x:v>node_13</x:v>
      </x:c>
      <x:c r="C19" s="8" t="str">
        <x:f>'원본_AdventureChapter'!B14</x:f>
        <x:v>chapter_03</x:v>
      </x:c>
      <x:c r="D19" s="8" t="n">
        <x:f>'원본_AdventureChapter'!F14</x:f>
        <x:v>420</x:v>
      </x:c>
      <x:c r="E19" s="8" t="n">
        <x:f>'원본_AdventureChapter'!H14</x:f>
        <x:v>3</x:v>
      </x:c>
      <x:c r="F19" s="8" t="str">
        <x:f>'원본_AdventureChapter'!G14</x:f>
        <x:v>adventure_node_13</x:v>
      </x:c>
      <x:c r="G19" s="8" t="n">
        <x:f>VLOOKUP(VLOOKUP(F19,'원본_AIDeck'!$B$2:$N$47,8,FALSE),'카드성장'!$A$7:$G$46,E19+2,FALSE)+VLOOKUP(VLOOKUP(F19,'원본_AIDeck'!$B$2:$N$47,9,FALSE),'카드성장'!$A$7:$G$46,E19+2,FALSE)+VLOOKUP(VLOOKUP(F19,'원본_AIDeck'!$B$2:$N$47,10,FALSE),'카드성장'!$A$7:$G$46,E19+2,FALSE)+VLOOKUP(VLOOKUP(F19,'원본_AIDeck'!$B$2:$N$47,11,FALSE),'카드성장'!$A$7:$G$46,E19+2,FALSE)+VLOOKUP(VLOOKUP(F19,'원본_AIDeck'!$B$2:$N$47,12,FALSE),'카드성장'!$A$7:$G$46,E19+2,FALSE)+VLOOKUP(VLOOKUP(F19,'원본_AIDeck'!$B$2:$N$47,13,FALSE),'카드성장'!$A$7:$G$46,E19+2,FALSE)</x:f>
        <x:v>47</x:v>
      </x:c>
      <x:c r="H19" s="8" t="n">
        <x:f>'입력'!$F$15</x:f>
        <x:v>45</x:v>
      </x:c>
      <x:c r="I19" s="15" t="n">
        <x:f>G19/H19</x:f>
        <x:v>1.0444444444444445</x:v>
      </x:c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 t="n">
        <x:v>14</x:v>
      </x:c>
      <x:c r="B20" s="8" t="str">
        <x:f>'원본_AdventureChapter'!C15</x:f>
        <x:v>node_14</x:v>
      </x:c>
      <x:c r="C20" s="8" t="str">
        <x:f>'원본_AdventureChapter'!B15</x:f>
        <x:v>chapter_03</x:v>
      </x:c>
      <x:c r="D20" s="8" t="n">
        <x:f>'원본_AdventureChapter'!F15</x:f>
        <x:v>420</x:v>
      </x:c>
      <x:c r="E20" s="8" t="n">
        <x:f>'원본_AdventureChapter'!H15</x:f>
        <x:v>3</x:v>
      </x:c>
      <x:c r="F20" s="8" t="str">
        <x:f>'원본_AdventureChapter'!G15</x:f>
        <x:v>adventure_node_14</x:v>
      </x:c>
      <x:c r="G20" s="8" t="n">
        <x:f>VLOOKUP(VLOOKUP(F20,'원본_AIDeck'!$B$2:$N$47,8,FALSE),'카드성장'!$A$7:$G$46,E20+2,FALSE)+VLOOKUP(VLOOKUP(F20,'원본_AIDeck'!$B$2:$N$47,9,FALSE),'카드성장'!$A$7:$G$46,E20+2,FALSE)+VLOOKUP(VLOOKUP(F20,'원본_AIDeck'!$B$2:$N$47,10,FALSE),'카드성장'!$A$7:$G$46,E20+2,FALSE)+VLOOKUP(VLOOKUP(F20,'원본_AIDeck'!$B$2:$N$47,11,FALSE),'카드성장'!$A$7:$G$46,E20+2,FALSE)+VLOOKUP(VLOOKUP(F20,'원본_AIDeck'!$B$2:$N$47,12,FALSE),'카드성장'!$A$7:$G$46,E20+2,FALSE)+VLOOKUP(VLOOKUP(F20,'원본_AIDeck'!$B$2:$N$47,13,FALSE),'카드성장'!$A$7:$G$46,E20+2,FALSE)</x:f>
        <x:v>49</x:v>
      </x:c>
      <x:c r="H20" s="8" t="n">
        <x:f>'입력'!$F$15</x:f>
        <x:v>45</x:v>
      </x:c>
      <x:c r="I20" s="15" t="n">
        <x:f>G20/H20</x:f>
        <x:v>1.0888888888888888</x:v>
      </x:c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 t="n">
        <x:v>15</x:v>
      </x:c>
      <x:c r="B21" s="8" t="str">
        <x:f>'원본_AdventureChapter'!C16</x:f>
        <x:v>node_15</x:v>
      </x:c>
      <x:c r="C21" s="8" t="str">
        <x:f>'원본_AdventureChapter'!B16</x:f>
        <x:v>chapter_03</x:v>
      </x:c>
      <x:c r="D21" s="8" t="n">
        <x:f>'원본_AdventureChapter'!F16</x:f>
        <x:v>420</x:v>
      </x:c>
      <x:c r="E21" s="8" t="n">
        <x:f>'원본_AdventureChapter'!H16</x:f>
        <x:v>3</x:v>
      </x:c>
      <x:c r="F21" s="8" t="str">
        <x:f>'원본_AdventureChapter'!G16</x:f>
        <x:v>adventure_node_15</x:v>
      </x:c>
      <x:c r="G21" s="8" t="n">
        <x:f>VLOOKUP(VLOOKUP(F21,'원본_AIDeck'!$B$2:$N$47,8,FALSE),'카드성장'!$A$7:$G$46,E21+2,FALSE)+VLOOKUP(VLOOKUP(F21,'원본_AIDeck'!$B$2:$N$47,9,FALSE),'카드성장'!$A$7:$G$46,E21+2,FALSE)+VLOOKUP(VLOOKUP(F21,'원본_AIDeck'!$B$2:$N$47,10,FALSE),'카드성장'!$A$7:$G$46,E21+2,FALSE)+VLOOKUP(VLOOKUP(F21,'원본_AIDeck'!$B$2:$N$47,11,FALSE),'카드성장'!$A$7:$G$46,E21+2,FALSE)+VLOOKUP(VLOOKUP(F21,'원본_AIDeck'!$B$2:$N$47,12,FALSE),'카드성장'!$A$7:$G$46,E21+2,FALSE)+VLOOKUP(VLOOKUP(F21,'원본_AIDeck'!$B$2:$N$47,13,FALSE),'카드성장'!$A$7:$G$46,E21+2,FALSE)</x:f>
        <x:v>49</x:v>
      </x:c>
      <x:c r="H21" s="8" t="n">
        <x:f>'입력'!$F$15</x:f>
        <x:v>45</x:v>
      </x:c>
      <x:c r="I21" s="15" t="n">
        <x:f>G21/H21</x:f>
        <x:v>1.0888888888888888</x:v>
      </x:c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 t="n">
        <x:v>16</x:v>
      </x:c>
      <x:c r="B22" s="8" t="str">
        <x:f>'원본_AdventureChapter'!C17</x:f>
        <x:v>node_16</x:v>
      </x:c>
      <x:c r="C22" s="8" t="str">
        <x:f>'원본_AdventureChapter'!B17</x:f>
        <x:v>chapter_03</x:v>
      </x:c>
      <x:c r="D22" s="8" t="n">
        <x:f>'원본_AdventureChapter'!F17</x:f>
        <x:v>420</x:v>
      </x:c>
      <x:c r="E22" s="8" t="n">
        <x:f>'원본_AdventureChapter'!H17</x:f>
        <x:v>3</x:v>
      </x:c>
      <x:c r="F22" s="8" t="str">
        <x:f>'원본_AdventureChapter'!G17</x:f>
        <x:v>adventure_node_16</x:v>
      </x:c>
      <x:c r="G22" s="8" t="n">
        <x:f>VLOOKUP(VLOOKUP(F22,'원본_AIDeck'!$B$2:$N$47,8,FALSE),'카드성장'!$A$7:$G$46,E22+2,FALSE)+VLOOKUP(VLOOKUP(F22,'원본_AIDeck'!$B$2:$N$47,9,FALSE),'카드성장'!$A$7:$G$46,E22+2,FALSE)+VLOOKUP(VLOOKUP(F22,'원본_AIDeck'!$B$2:$N$47,10,FALSE),'카드성장'!$A$7:$G$46,E22+2,FALSE)+VLOOKUP(VLOOKUP(F22,'원본_AIDeck'!$B$2:$N$47,11,FALSE),'카드성장'!$A$7:$G$46,E22+2,FALSE)+VLOOKUP(VLOOKUP(F22,'원본_AIDeck'!$B$2:$N$47,12,FALSE),'카드성장'!$A$7:$G$46,E22+2,FALSE)+VLOOKUP(VLOOKUP(F22,'원본_AIDeck'!$B$2:$N$47,13,FALSE),'카드성장'!$A$7:$G$46,E22+2,FALSE)</x:f>
        <x:v>49</x:v>
      </x:c>
      <x:c r="H22" s="8" t="n">
        <x:f>'입력'!$F$15</x:f>
        <x:v>45</x:v>
      </x:c>
      <x:c r="I22" s="15" t="n">
        <x:f>G22/H22</x:f>
        <x:v>1.0888888888888888</x:v>
      </x:c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23" customHeight="1">
      <x:c r="A23" s="8" t="n">
        <x:v>17</x:v>
      </x:c>
      <x:c r="B23" s="8" t="str">
        <x:f>'원본_AdventureChapter'!C18</x:f>
        <x:v>node_17</x:v>
      </x:c>
      <x:c r="C23" s="8" t="str">
        <x:f>'원본_AdventureChapter'!B18</x:f>
        <x:v>chapter_03</x:v>
      </x:c>
      <x:c r="D23" s="8" t="n">
        <x:f>'원본_AdventureChapter'!F18</x:f>
        <x:v>420</x:v>
      </x:c>
      <x:c r="E23" s="8" t="n">
        <x:f>'원본_AdventureChapter'!H18</x:f>
        <x:v>3</x:v>
      </x:c>
      <x:c r="F23" s="8" t="str">
        <x:f>'원본_AdventureChapter'!G18</x:f>
        <x:v>adventure_node_17</x:v>
      </x:c>
      <x:c r="G23" s="8" t="n">
        <x:f>VLOOKUP(VLOOKUP(F23,'원본_AIDeck'!$B$2:$N$47,8,FALSE),'카드성장'!$A$7:$G$46,E23+2,FALSE)+VLOOKUP(VLOOKUP(F23,'원본_AIDeck'!$B$2:$N$47,9,FALSE),'카드성장'!$A$7:$G$46,E23+2,FALSE)+VLOOKUP(VLOOKUP(F23,'원본_AIDeck'!$B$2:$N$47,10,FALSE),'카드성장'!$A$7:$G$46,E23+2,FALSE)+VLOOKUP(VLOOKUP(F23,'원본_AIDeck'!$B$2:$N$47,11,FALSE),'카드성장'!$A$7:$G$46,E23+2,FALSE)+VLOOKUP(VLOOKUP(F23,'원본_AIDeck'!$B$2:$N$47,12,FALSE),'카드성장'!$A$7:$G$46,E23+2,FALSE)+VLOOKUP(VLOOKUP(F23,'원본_AIDeck'!$B$2:$N$47,13,FALSE),'카드성장'!$A$7:$G$46,E23+2,FALSE)</x:f>
        <x:v>51</x:v>
      </x:c>
      <x:c r="H23" s="8" t="n">
        <x:f>'입력'!$F$15</x:f>
        <x:v>45</x:v>
      </x:c>
      <x:c r="I23" s="15" t="n">
        <x:f>G23/H23</x:f>
        <x:v>1.1333333333333333</x:v>
      </x:c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 t="n">
        <x:v>18</x:v>
      </x:c>
      <x:c r="B24" s="8" t="str">
        <x:f>'원본_AdventureChapter'!C19</x:f>
        <x:v>node_18</x:v>
      </x:c>
      <x:c r="C24" s="8" t="str">
        <x:f>'원본_AdventureChapter'!B19</x:f>
        <x:v>chapter_03</x:v>
      </x:c>
      <x:c r="D24" s="8" t="n">
        <x:f>'원본_AdventureChapter'!F19</x:f>
        <x:v>420</x:v>
      </x:c>
      <x:c r="E24" s="8" t="n">
        <x:f>'원본_AdventureChapter'!H19</x:f>
        <x:v>3</x:v>
      </x:c>
      <x:c r="F24" s="8" t="str">
        <x:f>'원본_AdventureChapter'!G19</x:f>
        <x:v>adventure_node_18</x:v>
      </x:c>
      <x:c r="G24" s="8" t="n">
        <x:f>VLOOKUP(VLOOKUP(F24,'원본_AIDeck'!$B$2:$N$47,8,FALSE),'카드성장'!$A$7:$G$46,E24+2,FALSE)+VLOOKUP(VLOOKUP(F24,'원본_AIDeck'!$B$2:$N$47,9,FALSE),'카드성장'!$A$7:$G$46,E24+2,FALSE)+VLOOKUP(VLOOKUP(F24,'원본_AIDeck'!$B$2:$N$47,10,FALSE),'카드성장'!$A$7:$G$46,E24+2,FALSE)+VLOOKUP(VLOOKUP(F24,'원본_AIDeck'!$B$2:$N$47,11,FALSE),'카드성장'!$A$7:$G$46,E24+2,FALSE)+VLOOKUP(VLOOKUP(F24,'원본_AIDeck'!$B$2:$N$47,12,FALSE),'카드성장'!$A$7:$G$46,E24+2,FALSE)+VLOOKUP(VLOOKUP(F24,'원본_AIDeck'!$B$2:$N$47,13,FALSE),'카드성장'!$A$7:$G$46,E24+2,FALSE)</x:f>
        <x:v>54</x:v>
      </x:c>
      <x:c r="H24" s="8" t="n">
        <x:f>'입력'!$F$15</x:f>
        <x:v>45</x:v>
      </x:c>
      <x:c r="I24" s="15" t="n">
        <x:f>G24/H24</x:f>
        <x:v>1.2</x:v>
      </x:c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 t="n">
        <x:v>19</x:v>
      </x:c>
      <x:c r="B25" s="8" t="str">
        <x:f>'원본_AdventureChapter'!C20</x:f>
        <x:v>node_19</x:v>
      </x:c>
      <x:c r="C25" s="8" t="str">
        <x:f>'원본_AdventureChapter'!B20</x:f>
        <x:v>chapter_04</x:v>
      </x:c>
      <x:c r="D25" s="8" t="n">
        <x:f>'원본_AdventureChapter'!F20</x:f>
        <x:v>580</x:v>
      </x:c>
      <x:c r="E25" s="8" t="n">
        <x:f>'원본_AdventureChapter'!H20</x:f>
        <x:v>3</x:v>
      </x:c>
      <x:c r="F25" s="8" t="str">
        <x:f>'원본_AdventureChapter'!G20</x:f>
        <x:v>adventure_node_19</x:v>
      </x:c>
      <x:c r="G25" s="8" t="n">
        <x:f>VLOOKUP(VLOOKUP(F25,'원본_AIDeck'!$B$2:$N$47,8,FALSE),'카드성장'!$A$7:$G$46,E25+2,FALSE)+VLOOKUP(VLOOKUP(F25,'원본_AIDeck'!$B$2:$N$47,9,FALSE),'카드성장'!$A$7:$G$46,E25+2,FALSE)+VLOOKUP(VLOOKUP(F25,'원본_AIDeck'!$B$2:$N$47,10,FALSE),'카드성장'!$A$7:$G$46,E25+2,FALSE)+VLOOKUP(VLOOKUP(F25,'원본_AIDeck'!$B$2:$N$47,11,FALSE),'카드성장'!$A$7:$G$46,E25+2,FALSE)+VLOOKUP(VLOOKUP(F25,'원본_AIDeck'!$B$2:$N$47,12,FALSE),'카드성장'!$A$7:$G$46,E25+2,FALSE)+VLOOKUP(VLOOKUP(F25,'원본_AIDeck'!$B$2:$N$47,13,FALSE),'카드성장'!$A$7:$G$46,E25+2,FALSE)</x:f>
        <x:v>48</x:v>
      </x:c>
      <x:c r="H25" s="8" t="n">
        <x:f>'입력'!$F$15</x:f>
        <x:v>45</x:v>
      </x:c>
      <x:c r="I25" s="15" t="n">
        <x:f>G25/H25</x:f>
        <x:v>1.0666666666666667</x:v>
      </x:c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 t="n">
        <x:v>20</x:v>
      </x:c>
      <x:c r="B26" s="8" t="str">
        <x:f>'원본_AdventureChapter'!C21</x:f>
        <x:v>node_20</x:v>
      </x:c>
      <x:c r="C26" s="8" t="str">
        <x:f>'원본_AdventureChapter'!B21</x:f>
        <x:v>chapter_04</x:v>
      </x:c>
      <x:c r="D26" s="8" t="n">
        <x:f>'원본_AdventureChapter'!F21</x:f>
        <x:v>580</x:v>
      </x:c>
      <x:c r="E26" s="8" t="n">
        <x:f>'원본_AdventureChapter'!H21</x:f>
        <x:v>3</x:v>
      </x:c>
      <x:c r="F26" s="8" t="str">
        <x:f>'원본_AdventureChapter'!G21</x:f>
        <x:v>adventure_node_20</x:v>
      </x:c>
      <x:c r="G26" s="8" t="n">
        <x:f>VLOOKUP(VLOOKUP(F26,'원본_AIDeck'!$B$2:$N$47,8,FALSE),'카드성장'!$A$7:$G$46,E26+2,FALSE)+VLOOKUP(VLOOKUP(F26,'원본_AIDeck'!$B$2:$N$47,9,FALSE),'카드성장'!$A$7:$G$46,E26+2,FALSE)+VLOOKUP(VLOOKUP(F26,'원본_AIDeck'!$B$2:$N$47,10,FALSE),'카드성장'!$A$7:$G$46,E26+2,FALSE)+VLOOKUP(VLOOKUP(F26,'원본_AIDeck'!$B$2:$N$47,11,FALSE),'카드성장'!$A$7:$G$46,E26+2,FALSE)+VLOOKUP(VLOOKUP(F26,'원본_AIDeck'!$B$2:$N$47,12,FALSE),'카드성장'!$A$7:$G$46,E26+2,FALSE)+VLOOKUP(VLOOKUP(F26,'원본_AIDeck'!$B$2:$N$47,13,FALSE),'카드성장'!$A$7:$G$46,E26+2,FALSE)</x:f>
        <x:v>49</x:v>
      </x:c>
      <x:c r="H26" s="8" t="n">
        <x:f>'입력'!$F$15</x:f>
        <x:v>45</x:v>
      </x:c>
      <x:c r="I26" s="15" t="n">
        <x:f>G26/H26</x:f>
        <x:v>1.0888888888888888</x:v>
      </x:c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23" customHeight="1">
      <x:c r="A27" s="8" t="n">
        <x:v>21</x:v>
      </x:c>
      <x:c r="B27" s="8" t="str">
        <x:f>'원본_AdventureChapter'!C22</x:f>
        <x:v>node_21</x:v>
      </x:c>
      <x:c r="C27" s="8" t="str">
        <x:f>'원본_AdventureChapter'!B22</x:f>
        <x:v>chapter_04</x:v>
      </x:c>
      <x:c r="D27" s="8" t="n">
        <x:f>'원본_AdventureChapter'!F22</x:f>
        <x:v>580</x:v>
      </x:c>
      <x:c r="E27" s="8" t="n">
        <x:f>'원본_AdventureChapter'!H22</x:f>
        <x:v>3</x:v>
      </x:c>
      <x:c r="F27" s="8" t="str">
        <x:f>'원본_AdventureChapter'!G22</x:f>
        <x:v>adventure_node_21</x:v>
      </x:c>
      <x:c r="G27" s="8" t="n">
        <x:f>VLOOKUP(VLOOKUP(F27,'원본_AIDeck'!$B$2:$N$47,8,FALSE),'카드성장'!$A$7:$G$46,E27+2,FALSE)+VLOOKUP(VLOOKUP(F27,'원본_AIDeck'!$B$2:$N$47,9,FALSE),'카드성장'!$A$7:$G$46,E27+2,FALSE)+VLOOKUP(VLOOKUP(F27,'원본_AIDeck'!$B$2:$N$47,10,FALSE),'카드성장'!$A$7:$G$46,E27+2,FALSE)+VLOOKUP(VLOOKUP(F27,'원본_AIDeck'!$B$2:$N$47,11,FALSE),'카드성장'!$A$7:$G$46,E27+2,FALSE)+VLOOKUP(VLOOKUP(F27,'원본_AIDeck'!$B$2:$N$47,12,FALSE),'카드성장'!$A$7:$G$46,E27+2,FALSE)+VLOOKUP(VLOOKUP(F27,'원본_AIDeck'!$B$2:$N$47,13,FALSE),'카드성장'!$A$7:$G$46,E27+2,FALSE)</x:f>
        <x:v>52</x:v>
      </x:c>
      <x:c r="H27" s="8" t="n">
        <x:f>'입력'!$F$15</x:f>
        <x:v>45</x:v>
      </x:c>
      <x:c r="I27" s="15" t="n">
        <x:f>G27/H27</x:f>
        <x:v>1.1555555555555554</x:v>
      </x:c>
      <x:c r="J27" s="8"/>
      <x:c r="K27" s="8"/>
      <x:c r="L27" s="8"/>
      <x:c r="M27" s="8"/>
      <x:c r="N27" s="8"/>
      <x:c r="O27" s="8"/>
      <x:c r="P27" s="8"/>
      <x:c r="Q27" s="8"/>
      <x:c r="R27" s="8"/>
    </x:row>
    <x:row r="28" ht="23" customHeight="1">
      <x:c r="A28" s="8" t="n">
        <x:v>22</x:v>
      </x:c>
      <x:c r="B28" s="8" t="str">
        <x:f>'원본_AdventureChapter'!C23</x:f>
        <x:v>node_22</x:v>
      </x:c>
      <x:c r="C28" s="8" t="str">
        <x:f>'원본_AdventureChapter'!B23</x:f>
        <x:v>chapter_04</x:v>
      </x:c>
      <x:c r="D28" s="8" t="n">
        <x:f>'원본_AdventureChapter'!F23</x:f>
        <x:v>580</x:v>
      </x:c>
      <x:c r="E28" s="8" t="n">
        <x:f>'원본_AdventureChapter'!H23</x:f>
        <x:v>3</x:v>
      </x:c>
      <x:c r="F28" s="8" t="str">
        <x:f>'원본_AdventureChapter'!G23</x:f>
        <x:v>adventure_node_22</x:v>
      </x:c>
      <x:c r="G28" s="8" t="n">
        <x:f>VLOOKUP(VLOOKUP(F28,'원본_AIDeck'!$B$2:$N$47,8,FALSE),'카드성장'!$A$7:$G$46,E28+2,FALSE)+VLOOKUP(VLOOKUP(F28,'원본_AIDeck'!$B$2:$N$47,9,FALSE),'카드성장'!$A$7:$G$46,E28+2,FALSE)+VLOOKUP(VLOOKUP(F28,'원본_AIDeck'!$B$2:$N$47,10,FALSE),'카드성장'!$A$7:$G$46,E28+2,FALSE)+VLOOKUP(VLOOKUP(F28,'원본_AIDeck'!$B$2:$N$47,11,FALSE),'카드성장'!$A$7:$G$46,E28+2,FALSE)+VLOOKUP(VLOOKUP(F28,'원본_AIDeck'!$B$2:$N$47,12,FALSE),'카드성장'!$A$7:$G$46,E28+2,FALSE)+VLOOKUP(VLOOKUP(F28,'원본_AIDeck'!$B$2:$N$47,13,FALSE),'카드성장'!$A$7:$G$46,E28+2,FALSE)</x:f>
        <x:v>47</x:v>
      </x:c>
      <x:c r="H28" s="8" t="n">
        <x:f>'입력'!$F$15</x:f>
        <x:v>45</x:v>
      </x:c>
      <x:c r="I28" s="15" t="n">
        <x:f>G28/H28</x:f>
        <x:v>1.0444444444444445</x:v>
      </x:c>
      <x:c r="J28" s="8"/>
      <x:c r="K28" s="8"/>
      <x:c r="L28" s="8"/>
      <x:c r="M28" s="8"/>
      <x:c r="N28" s="8"/>
      <x:c r="O28" s="8"/>
      <x:c r="P28" s="8"/>
      <x:c r="Q28" s="8"/>
      <x:c r="R28" s="8"/>
    </x:row>
    <x:row r="29" ht="23" customHeight="1">
      <x:c r="A29" s="8" t="n">
        <x:v>23</x:v>
      </x:c>
      <x:c r="B29" s="8" t="str">
        <x:f>'원본_AdventureChapter'!C24</x:f>
        <x:v>node_23</x:v>
      </x:c>
      <x:c r="C29" s="8" t="str">
        <x:f>'원본_AdventureChapter'!B24</x:f>
        <x:v>chapter_04</x:v>
      </x:c>
      <x:c r="D29" s="8" t="n">
        <x:f>'원본_AdventureChapter'!F24</x:f>
        <x:v>580</x:v>
      </x:c>
      <x:c r="E29" s="8" t="n">
        <x:f>'원본_AdventureChapter'!H24</x:f>
        <x:v>4</x:v>
      </x:c>
      <x:c r="F29" s="8" t="str">
        <x:f>'원본_AdventureChapter'!G24</x:f>
        <x:v>adventure_node_23</x:v>
      </x:c>
      <x:c r="G29" s="8" t="n">
        <x:f>VLOOKUP(VLOOKUP(F29,'원본_AIDeck'!$B$2:$N$47,8,FALSE),'카드성장'!$A$7:$G$46,E29+2,FALSE)+VLOOKUP(VLOOKUP(F29,'원본_AIDeck'!$B$2:$N$47,9,FALSE),'카드성장'!$A$7:$G$46,E29+2,FALSE)+VLOOKUP(VLOOKUP(F29,'원본_AIDeck'!$B$2:$N$47,10,FALSE),'카드성장'!$A$7:$G$46,E29+2,FALSE)+VLOOKUP(VLOOKUP(F29,'원본_AIDeck'!$B$2:$N$47,11,FALSE),'카드성장'!$A$7:$G$46,E29+2,FALSE)+VLOOKUP(VLOOKUP(F29,'원본_AIDeck'!$B$2:$N$47,12,FALSE),'카드성장'!$A$7:$G$46,E29+2,FALSE)+VLOOKUP(VLOOKUP(F29,'원본_AIDeck'!$B$2:$N$47,13,FALSE),'카드성장'!$A$7:$G$46,E29+2,FALSE)</x:f>
        <x:v>110</x:v>
      </x:c>
      <x:c r="H29" s="8" t="n">
        <x:f>'입력'!$F$15</x:f>
        <x:v>45</x:v>
      </x:c>
      <x:c r="I29" s="15" t="n">
        <x:f>G29/H29</x:f>
        <x:v>2.4444444444444446</x:v>
      </x:c>
      <x:c r="J29" s="8"/>
      <x:c r="K29" s="8"/>
      <x:c r="L29" s="8"/>
      <x:c r="M29" s="8"/>
      <x:c r="N29" s="8"/>
      <x:c r="O29" s="8"/>
      <x:c r="P29" s="8"/>
      <x:c r="Q29" s="8"/>
      <x:c r="R29" s="8"/>
    </x:row>
    <x:row r="30" ht="23" customHeight="1">
      <x:c r="A30" s="8" t="n">
        <x:v>24</x:v>
      </x:c>
      <x:c r="B30" s="8" t="str">
        <x:f>'원본_AdventureChapter'!C25</x:f>
        <x:v>node_24</x:v>
      </x:c>
      <x:c r="C30" s="8" t="str">
        <x:f>'원본_AdventureChapter'!B25</x:f>
        <x:v>chapter_04</x:v>
      </x:c>
      <x:c r="D30" s="8" t="n">
        <x:f>'원본_AdventureChapter'!F25</x:f>
        <x:v>580</x:v>
      </x:c>
      <x:c r="E30" s="8" t="n">
        <x:f>'원본_AdventureChapter'!H25</x:f>
        <x:v>4</x:v>
      </x:c>
      <x:c r="F30" s="8" t="str">
        <x:f>'원본_AdventureChapter'!G25</x:f>
        <x:v>adventure_node_24</x:v>
      </x:c>
      <x:c r="G30" s="8" t="n">
        <x:f>VLOOKUP(VLOOKUP(F30,'원본_AIDeck'!$B$2:$N$47,8,FALSE),'카드성장'!$A$7:$G$46,E30+2,FALSE)+VLOOKUP(VLOOKUP(F30,'원본_AIDeck'!$B$2:$N$47,9,FALSE),'카드성장'!$A$7:$G$46,E30+2,FALSE)+VLOOKUP(VLOOKUP(F30,'원본_AIDeck'!$B$2:$N$47,10,FALSE),'카드성장'!$A$7:$G$46,E30+2,FALSE)+VLOOKUP(VLOOKUP(F30,'원본_AIDeck'!$B$2:$N$47,11,FALSE),'카드성장'!$A$7:$G$46,E30+2,FALSE)+VLOOKUP(VLOOKUP(F30,'원본_AIDeck'!$B$2:$N$47,12,FALSE),'카드성장'!$A$7:$G$46,E30+2,FALSE)+VLOOKUP(VLOOKUP(F30,'원본_AIDeck'!$B$2:$N$47,13,FALSE),'카드성장'!$A$7:$G$46,E30+2,FALSE)</x:f>
        <x:v>109</x:v>
      </x:c>
      <x:c r="H30" s="8" t="n">
        <x:f>'입력'!$F$15</x:f>
        <x:v>45</x:v>
      </x:c>
      <x:c r="I30" s="15" t="n">
        <x:f>G30/H30</x:f>
        <x:v>2.422222222222222</x:v>
      </x:c>
      <x:c r="J30" s="8"/>
      <x:c r="K30" s="8"/>
      <x:c r="L30" s="8"/>
      <x:c r="M30" s="8"/>
      <x:c r="N30" s="8"/>
      <x:c r="O30" s="8"/>
      <x:c r="P30" s="8"/>
      <x:c r="Q30" s="8"/>
      <x:c r="R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pageMargins left="0.7" right="0.7" top="0.75" bottom="0.75" header="0.3" footer="0.3"/>
  <x:drawing xmlns:r="http://schemas.openxmlformats.org/officeDocument/2006/relationships" r:id="R071740f49e2e44cb"/>
</x:worksheet>
</file>

<file path=xl/worksheets/sheet4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랭크 일반전과 승급전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현재 후보 가중치는 모두 1입니다. 평균은 가중치 반영, 최소·최대는 후보 편차입니다.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30" customHeight="1">
      <x:c r="A6" s="4" t="str">
        <x:v>티어</x:v>
      </x:c>
      <x:c r="B6" s="4" t="str">
        <x:v>일반 후보 수</x:v>
      </x:c>
      <x:c r="C6" s="4" t="str">
        <x:v>최소 HP</x:v>
      </x:c>
      <x:c r="D6" s="4" t="str">
        <x:v>평균 HP</x:v>
      </x:c>
      <x:c r="E6" s="4" t="str">
        <x:v>최대 HP</x:v>
      </x:c>
      <x:c r="F6" s="4" t="str">
        <x:v>기준 덱 HP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</x:row>
    <x:row r="7" ht="23" customHeight="1">
      <x:c r="A7" s="8" t="n">
        <x:v>0</x:v>
      </x:c>
      <x:c r="B7" s="8" t="n">
        <x:f>COUNTIFS('랭크상세'!$A$7:$A$166,A7,'랭크상세'!$B$7:$B$166,"Normal")</x:f>
        <x:v>2</x:v>
      </x:c>
      <x:c r="C7" s="16" t="n">
        <x:f>_xlfn.MINIFS('랭크상세'!$Q$7:$Q$166,'랭크상세'!$A$7:$A$166,A7,'랭크상세'!$B$7:$B$166,"Normal")</x:f>
        <x:v>28</x:v>
      </x:c>
      <x:c r="D7" s="16" t="n">
        <x:f>SUMPRODUCT(('랭크상세'!$A$7:$A$166=A7)*('랭크상세'!$B$7:$B$166="Normal")*'랭크상세'!$D$7:$D$166*'랭크상세'!$Q$7:$Q$166)/SUMIFS('랭크상세'!$D$7:$D$166,'랭크상세'!$A$7:$A$166,A7,'랭크상세'!$B$7:$B$166,"Normal")</x:f>
        <x:v>29</x:v>
      </x:c>
      <x:c r="E7" s="16" t="n">
        <x:f>_xlfn.MAXIFS('랭크상세'!$Q$7:$Q$166,'랭크상세'!$A$7:$A$166,A7,'랭크상세'!$B$7:$B$166,"Normal")</x:f>
        <x:v>30</x:v>
      </x:c>
      <x:c r="F7" s="16" t="n">
        <x:f>'입력'!$F$15</x:f>
        <x:v>45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 t="n">
        <x:v>1</x:v>
      </x:c>
      <x:c r="B8" s="8" t="n">
        <x:f>COUNTIFS('랭크상세'!$A$7:$A$166,A8,'랭크상세'!$B$7:$B$166,"Normal")</x:f>
        <x:v>3</x:v>
      </x:c>
      <x:c r="C8" s="16" t="n">
        <x:f>_xlfn.MINIFS('랭크상세'!$Q$7:$Q$166,'랭크상세'!$A$7:$A$166,A8,'랭크상세'!$B$7:$B$166,"Normal")</x:f>
        <x:v>33</x:v>
      </x:c>
      <x:c r="D8" s="16" t="n">
        <x:f>SUMPRODUCT(('랭크상세'!$A$7:$A$166=A8)*('랭크상세'!$B$7:$B$166="Normal")*'랭크상세'!$D$7:$D$166*'랭크상세'!$Q$7:$Q$166)/SUMIFS('랭크상세'!$D$7:$D$166,'랭크상세'!$A$7:$A$166,A8,'랭크상세'!$B$7:$B$166,"Normal")</x:f>
        <x:v>35.666666666666664</x:v>
      </x:c>
      <x:c r="E8" s="16" t="n">
        <x:f>_xlfn.MAXIFS('랭크상세'!$Q$7:$Q$166,'랭크상세'!$A$7:$A$166,A8,'랭크상세'!$B$7:$B$166,"Normal")</x:f>
        <x:v>37</x:v>
      </x:c>
      <x:c r="F8" s="16" t="n">
        <x:f>'입력'!$F$15</x:f>
        <x:v>45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 t="n">
        <x:v>2</x:v>
      </x:c>
      <x:c r="B9" s="8" t="n">
        <x:f>COUNTIFS('랭크상세'!$A$7:$A$166,A9,'랭크상세'!$B$7:$B$166,"Normal")</x:f>
        <x:v>3</x:v>
      </x:c>
      <x:c r="C9" s="16" t="n">
        <x:f>_xlfn.MINIFS('랭크상세'!$Q$7:$Q$166,'랭크상세'!$A$7:$A$166,A9,'랭크상세'!$B$7:$B$166,"Normal")</x:f>
        <x:v>39</x:v>
      </x:c>
      <x:c r="D9" s="16" t="n">
        <x:f>SUMPRODUCT(('랭크상세'!$A$7:$A$166=A9)*('랭크상세'!$B$7:$B$166="Normal")*'랭크상세'!$D$7:$D$166*'랭크상세'!$Q$7:$Q$166)/SUMIFS('랭크상세'!$D$7:$D$166,'랭크상세'!$A$7:$A$166,A9,'랭크상세'!$B$7:$B$166,"Normal")</x:f>
        <x:v>43</x:v>
      </x:c>
      <x:c r="E9" s="16" t="n">
        <x:f>_xlfn.MAXIFS('랭크상세'!$Q$7:$Q$166,'랭크상세'!$A$7:$A$166,A9,'랭크상세'!$B$7:$B$166,"Normal")</x:f>
        <x:v>45</x:v>
      </x:c>
      <x:c r="F9" s="16" t="n">
        <x:f>'입력'!$F$15</x:f>
        <x:v>45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</x:row>
    <x:row r="10" ht="23" customHeight="1">
      <x:c r="A10" s="8" t="n">
        <x:v>3</x:v>
      </x:c>
      <x:c r="B10" s="8" t="n">
        <x:f>COUNTIFS('랭크상세'!$A$7:$A$166,A10,'랭크상세'!$B$7:$B$166,"Normal")</x:f>
        <x:v>5</x:v>
      </x:c>
      <x:c r="C10" s="16" t="n">
        <x:f>_xlfn.MINIFS('랭크상세'!$Q$7:$Q$166,'랭크상세'!$A$7:$A$166,A10,'랭크상세'!$B$7:$B$166,"Normal")</x:f>
        <x:v>45</x:v>
      </x:c>
      <x:c r="D10" s="16" t="n">
        <x:f>SUMPRODUCT(('랭크상세'!$A$7:$A$166=A10)*('랭크상세'!$B$7:$B$166="Normal")*'랭크상세'!$D$7:$D$166*'랭크상세'!$Q$7:$Q$166)/SUMIFS('랭크상세'!$D$7:$D$166,'랭크상세'!$A$7:$A$166,A10,'랭크상세'!$B$7:$B$166,"Normal")</x:f>
        <x:v>47.4</x:v>
      </x:c>
      <x:c r="E10" s="16" t="n">
        <x:f>_xlfn.MAXIFS('랭크상세'!$Q$7:$Q$166,'랭크상세'!$A$7:$A$166,A10,'랭크상세'!$B$7:$B$166,"Normal")</x:f>
        <x:v>49</x:v>
      </x:c>
      <x:c r="F10" s="16" t="n">
        <x:f>'입력'!$F$15</x:f>
        <x:v>45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n">
        <x:v>4</x:v>
      </x:c>
      <x:c r="B11" s="8" t="n">
        <x:f>COUNTIFS('랭크상세'!$A$7:$A$166,A11,'랭크상세'!$B$7:$B$166,"Normal")</x:f>
        <x:v>5</x:v>
      </x:c>
      <x:c r="C11" s="16" t="n">
        <x:f>_xlfn.MINIFS('랭크상세'!$Q$7:$Q$166,'랭크상세'!$A$7:$A$166,A11,'랭크상세'!$B$7:$B$166,"Normal")</x:f>
        <x:v>61</x:v>
      </x:c>
      <x:c r="D11" s="16" t="n">
        <x:f>SUMPRODUCT(('랭크상세'!$A$7:$A$166=A11)*('랭크상세'!$B$7:$B$166="Normal")*'랭크상세'!$D$7:$D$166*'랭크상세'!$Q$7:$Q$166)/SUMIFS('랭크상세'!$D$7:$D$166,'랭크상세'!$A$7:$A$166,A11,'랭크상세'!$B$7:$B$166,"Normal")</x:f>
        <x:v>64.2</x:v>
      </x:c>
      <x:c r="E11" s="16" t="n">
        <x:f>_xlfn.MAXIFS('랭크상세'!$Q$7:$Q$166,'랭크상세'!$A$7:$A$166,A11,'랭크상세'!$B$7:$B$166,"Normal")</x:f>
        <x:v>67</x:v>
      </x:c>
      <x:c r="F11" s="16" t="n">
        <x:f>'입력'!$F$15</x:f>
        <x:v>45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n">
        <x:v>5</x:v>
      </x:c>
      <x:c r="B12" s="8" t="n">
        <x:f>COUNTIFS('랭크상세'!$A$7:$A$166,A12,'랭크상세'!$B$7:$B$166,"Normal")</x:f>
        <x:v>5</x:v>
      </x:c>
      <x:c r="C12" s="16" t="n">
        <x:f>_xlfn.MINIFS('랭크상세'!$Q$7:$Q$166,'랭크상세'!$A$7:$A$166,A12,'랭크상세'!$B$7:$B$166,"Normal")</x:f>
        <x:v>61</x:v>
      </x:c>
      <x:c r="D12" s="16" t="n">
        <x:f>SUMPRODUCT(('랭크상세'!$A$7:$A$166=A12)*('랭크상세'!$B$7:$B$166="Normal")*'랭크상세'!$D$7:$D$166*'랭크상세'!$Q$7:$Q$166)/SUMIFS('랭크상세'!$D$7:$D$166,'랭크상세'!$A$7:$A$166,A12,'랭크상세'!$B$7:$B$166,"Normal")</x:f>
        <x:v>64.2</x:v>
      </x:c>
      <x:c r="E12" s="16" t="n">
        <x:f>_xlfn.MAXIFS('랭크상세'!$Q$7:$Q$166,'랭크상세'!$A$7:$A$166,A12,'랭크상세'!$B$7:$B$166,"Normal")</x:f>
        <x:v>67</x:v>
      </x:c>
      <x:c r="F12" s="16" t="n">
        <x:f>'입력'!$F$15</x:f>
        <x:v>45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n">
        <x:v>6</x:v>
      </x:c>
      <x:c r="B13" s="8" t="n">
        <x:f>COUNTIFS('랭크상세'!$A$7:$A$166,A13,'랭크상세'!$B$7:$B$166,"Normal")</x:f>
        <x:v>4</x:v>
      </x:c>
      <x:c r="C13" s="16" t="n">
        <x:f>_xlfn.MINIFS('랭크상세'!$Q$7:$Q$166,'랭크상세'!$A$7:$A$166,A13,'랭크상세'!$B$7:$B$166,"Normal")</x:f>
        <x:v>61</x:v>
      </x:c>
      <x:c r="D13" s="16" t="n">
        <x:f>SUMPRODUCT(('랭크상세'!$A$7:$A$166=A13)*('랭크상세'!$B$7:$B$166="Normal")*'랭크상세'!$D$7:$D$166*'랭크상세'!$Q$7:$Q$166)/SUMIFS('랭크상세'!$D$7:$D$166,'랭크상세'!$A$7:$A$166,A13,'랭크상세'!$B$7:$B$166,"Normal")</x:f>
        <x:v>64.75</x:v>
      </x:c>
      <x:c r="E13" s="16" t="n">
        <x:f>_xlfn.MAXIFS('랭크상세'!$Q$7:$Q$166,'랭크상세'!$A$7:$A$166,A13,'랭크상세'!$B$7:$B$166,"Normal")</x:f>
        <x:v>67</x:v>
      </x:c>
      <x:c r="F13" s="16" t="n">
        <x:f>'입력'!$F$15</x:f>
        <x:v>45</x:v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 t="n">
        <x:v>7</x:v>
      </x:c>
      <x:c r="B14" s="8" t="n">
        <x:f>COUNTIFS('랭크상세'!$A$7:$A$166,A14,'랭크상세'!$B$7:$B$166,"Normal")</x:f>
        <x:v>4</x:v>
      </x:c>
      <x:c r="C14" s="16" t="n">
        <x:f>_xlfn.MINIFS('랭크상세'!$Q$7:$Q$166,'랭크상세'!$A$7:$A$166,A14,'랭크상세'!$B$7:$B$166,"Normal")</x:f>
        <x:v>65</x:v>
      </x:c>
      <x:c r="D14" s="16" t="n">
        <x:f>SUMPRODUCT(('랭크상세'!$A$7:$A$166=A14)*('랭크상세'!$B$7:$B$166="Normal")*'랭크상세'!$D$7:$D$166*'랭크상세'!$Q$7:$Q$166)/SUMIFS('랭크상세'!$D$7:$D$166,'랭크상세'!$A$7:$A$166,A14,'랭크상세'!$B$7:$B$166,"Normal")</x:f>
        <x:v>68.75</x:v>
      </x:c>
      <x:c r="E14" s="16" t="n">
        <x:f>_xlfn.MAXIFS('랭크상세'!$Q$7:$Q$166,'랭크상세'!$A$7:$A$166,A14,'랭크상세'!$B$7:$B$166,"Normal")</x:f>
        <x:v>73</x:v>
      </x:c>
      <x:c r="F14" s="16" t="n">
        <x:f>'입력'!$F$15</x:f>
        <x:v>45</x:v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 t="n">
        <x:v>8</x:v>
      </x:c>
      <x:c r="B15" s="8" t="n">
        <x:f>COUNTIFS('랭크상세'!$A$7:$A$166,A15,'랭크상세'!$B$7:$B$166,"Normal")</x:f>
        <x:v>4</x:v>
      </x:c>
      <x:c r="C15" s="16" t="n">
        <x:f>_xlfn.MINIFS('랭크상세'!$Q$7:$Q$166,'랭크상세'!$A$7:$A$166,A15,'랭크상세'!$B$7:$B$166,"Normal")</x:f>
        <x:v>72</x:v>
      </x:c>
      <x:c r="D15" s="16" t="n">
        <x:f>SUMPRODUCT(('랭크상세'!$A$7:$A$166=A15)*('랭크상세'!$B$7:$B$166="Normal")*'랭크상세'!$D$7:$D$166*'랭크상세'!$Q$7:$Q$166)/SUMIFS('랭크상세'!$D$7:$D$166,'랭크상세'!$A$7:$A$166,A15,'랭크상세'!$B$7:$B$166,"Normal")</x:f>
        <x:v>77.5</x:v>
      </x:c>
      <x:c r="E15" s="16" t="n">
        <x:f>_xlfn.MAXIFS('랭크상세'!$Q$7:$Q$166,'랭크상세'!$A$7:$A$166,A15,'랭크상세'!$B$7:$B$166,"Normal")</x:f>
        <x:v>82</x:v>
      </x:c>
      <x:c r="F15" s="16" t="n">
        <x:f>'입력'!$F$15</x:f>
        <x:v>45</x:v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 t="n">
        <x:v>9</x:v>
      </x:c>
      <x:c r="B16" s="8" t="n">
        <x:f>COUNTIFS('랭크상세'!$A$7:$A$166,A16,'랭크상세'!$B$7:$B$166,"Normal")</x:f>
        <x:v>12</x:v>
      </x:c>
      <x:c r="C16" s="16" t="n">
        <x:f>_xlfn.MINIFS('랭크상세'!$Q$7:$Q$166,'랭크상세'!$A$7:$A$166,A16,'랭크상세'!$B$7:$B$166,"Normal")</x:f>
        <x:v>71</x:v>
      </x:c>
      <x:c r="D16" s="16" t="n">
        <x:f>SUMPRODUCT(('랭크상세'!$A$7:$A$166=A16)*('랭크상세'!$B$7:$B$166="Normal")*'랭크상세'!$D$7:$D$166*'랭크상세'!$Q$7:$Q$166)/SUMIFS('랭크상세'!$D$7:$D$166,'랭크상세'!$A$7:$A$166,A16,'랭크상세'!$B$7:$B$166,"Normal")</x:f>
        <x:v>76.33333333333333</x:v>
      </x:c>
      <x:c r="E16" s="16" t="n">
        <x:f>_xlfn.MAXIFS('랭크상세'!$Q$7:$Q$166,'랭크상세'!$A$7:$A$166,A16,'랭크상세'!$B$7:$B$166,"Normal")</x:f>
        <x:v>82</x:v>
      </x:c>
      <x:c r="F16" s="16" t="n">
        <x:f>'입력'!$F$15</x:f>
        <x:v>45</x:v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 t="n">
        <x:v>10</x:v>
      </x:c>
      <x:c r="B17" s="8" t="n">
        <x:f>COUNTIFS('랭크상세'!$A$7:$A$166,A17,'랭크상세'!$B$7:$B$166,"Normal")</x:f>
        <x:v>12</x:v>
      </x:c>
      <x:c r="C17" s="16" t="n">
        <x:f>_xlfn.MINIFS('랭크상세'!$Q$7:$Q$166,'랭크상세'!$A$7:$A$166,A17,'랭크상세'!$B$7:$B$166,"Normal")</x:f>
        <x:v>71</x:v>
      </x:c>
      <x:c r="D17" s="16" t="n">
        <x:f>SUMPRODUCT(('랭크상세'!$A$7:$A$166=A17)*('랭크상세'!$B$7:$B$166="Normal")*'랭크상세'!$D$7:$D$166*'랭크상세'!$Q$7:$Q$166)/SUMIFS('랭크상세'!$D$7:$D$166,'랭크상세'!$A$7:$A$166,A17,'랭크상세'!$B$7:$B$166,"Normal")</x:f>
        <x:v>76.33333333333333</x:v>
      </x:c>
      <x:c r="E17" s="16" t="n">
        <x:f>_xlfn.MAXIFS('랭크상세'!$Q$7:$Q$166,'랭크상세'!$A$7:$A$166,A17,'랭크상세'!$B$7:$B$166,"Normal")</x:f>
        <x:v>82</x:v>
      </x:c>
      <x:c r="F17" s="16" t="n">
        <x:f>'입력'!$F$15</x:f>
        <x:v>45</x:v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23" customHeight="1">
      <x:c r="A18" s="8" t="n">
        <x:v>11</x:v>
      </x:c>
      <x:c r="B18" s="8" t="n">
        <x:f>COUNTIFS('랭크상세'!$A$7:$A$166,A18,'랭크상세'!$B$7:$B$166,"Normal")</x:f>
        <x:v>8</x:v>
      </x:c>
      <x:c r="C18" s="16" t="n">
        <x:f>_xlfn.MINIFS('랭크상세'!$Q$7:$Q$166,'랭크상세'!$A$7:$A$166,A18,'랭크상세'!$B$7:$B$166,"Normal")</x:f>
        <x:v>79</x:v>
      </x:c>
      <x:c r="D18" s="16" t="n">
        <x:f>SUMPRODUCT(('랭크상세'!$A$7:$A$166=A18)*('랭크상세'!$B$7:$B$166="Normal")*'랭크상세'!$D$7:$D$166*'랭크상세'!$Q$7:$Q$166)/SUMIFS('랭크상세'!$D$7:$D$166,'랭크상세'!$A$7:$A$166,A18,'랭크상세'!$B$7:$B$166,"Normal")</x:f>
        <x:v>84.875</x:v>
      </x:c>
      <x:c r="E18" s="16" t="n">
        <x:f>_xlfn.MAXIFS('랭크상세'!$Q$7:$Q$166,'랭크상세'!$A$7:$A$166,A18,'랭크상세'!$B$7:$B$166,"Normal")</x:f>
        <x:v>93</x:v>
      </x:c>
      <x:c r="F18" s="16" t="n">
        <x:f>'입력'!$F$15</x:f>
        <x:v>45</x:v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n">
        <x:v>12</x:v>
      </x:c>
      <x:c r="B19" s="8" t="n">
        <x:f>COUNTIFS('랭크상세'!$A$7:$A$166,A19,'랭크상세'!$B$7:$B$166,"Normal")</x:f>
        <x:v>8</x:v>
      </x:c>
      <x:c r="C19" s="16" t="n">
        <x:f>_xlfn.MINIFS('랭크상세'!$Q$7:$Q$166,'랭크상세'!$A$7:$A$166,A19,'랭크상세'!$B$7:$B$166,"Normal")</x:f>
        <x:v>79</x:v>
      </x:c>
      <x:c r="D19" s="16" t="n">
        <x:f>SUMPRODUCT(('랭크상세'!$A$7:$A$166=A19)*('랭크상세'!$B$7:$B$166="Normal")*'랭크상세'!$D$7:$D$166*'랭크상세'!$Q$7:$Q$166)/SUMIFS('랭크상세'!$D$7:$D$166,'랭크상세'!$A$7:$A$166,A19,'랭크상세'!$B$7:$B$166,"Normal")</x:f>
        <x:v>84.875</x:v>
      </x:c>
      <x:c r="E19" s="16" t="n">
        <x:f>_xlfn.MAXIFS('랭크상세'!$Q$7:$Q$166,'랭크상세'!$A$7:$A$166,A19,'랭크상세'!$B$7:$B$166,"Normal")</x:f>
        <x:v>93</x:v>
      </x:c>
      <x:c r="F19" s="16" t="n">
        <x:f>'입력'!$F$15</x:f>
        <x:v>45</x:v>
      </x:c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 t="n">
        <x:v>13</x:v>
      </x:c>
      <x:c r="B20" s="8" t="n">
        <x:f>COUNTIFS('랭크상세'!$A$7:$A$166,A20,'랭크상세'!$B$7:$B$166,"Normal")</x:f>
        <x:v>8</x:v>
      </x:c>
      <x:c r="C20" s="16" t="n">
        <x:f>_xlfn.MINIFS('랭크상세'!$Q$7:$Q$166,'랭크상세'!$A$7:$A$166,A20,'랭크상세'!$B$7:$B$166,"Normal")</x:f>
        <x:v>89</x:v>
      </x:c>
      <x:c r="D20" s="16" t="n">
        <x:f>SUMPRODUCT(('랭크상세'!$A$7:$A$166=A20)*('랭크상세'!$B$7:$B$166="Normal")*'랭크상세'!$D$7:$D$166*'랭크상세'!$Q$7:$Q$166)/SUMIFS('랭크상세'!$D$7:$D$166,'랭크상세'!$A$7:$A$166,A20,'랭크상세'!$B$7:$B$166,"Normal")</x:f>
        <x:v>95</x:v>
      </x:c>
      <x:c r="E20" s="16" t="n">
        <x:f>_xlfn.MAXIFS('랭크상세'!$Q$7:$Q$166,'랭크상세'!$A$7:$A$166,A20,'랭크상세'!$B$7:$B$166,"Normal")</x:f>
        <x:v>103</x:v>
      </x:c>
      <x:c r="F20" s="16" t="n">
        <x:f>'입력'!$F$15</x:f>
        <x:v>45</x:v>
      </x:c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 t="n">
        <x:v>14</x:v>
      </x:c>
      <x:c r="B21" s="8" t="n">
        <x:f>COUNTIFS('랭크상세'!$A$7:$A$166,A21,'랭크상세'!$B$7:$B$166,"Normal")</x:f>
        <x:v>8</x:v>
      </x:c>
      <x:c r="C21" s="16" t="n">
        <x:f>_xlfn.MINIFS('랭크상세'!$Q$7:$Q$166,'랭크상세'!$A$7:$A$166,A21,'랭크상세'!$B$7:$B$166,"Normal")</x:f>
        <x:v>89</x:v>
      </x:c>
      <x:c r="D21" s="16" t="n">
        <x:f>SUMPRODUCT(('랭크상세'!$A$7:$A$166=A21)*('랭크상세'!$B$7:$B$166="Normal")*'랭크상세'!$D$7:$D$166*'랭크상세'!$Q$7:$Q$166)/SUMIFS('랭크상세'!$D$7:$D$166,'랭크상세'!$A$7:$A$166,A21,'랭크상세'!$B$7:$B$166,"Normal")</x:f>
        <x:v>95</x:v>
      </x:c>
      <x:c r="E21" s="16" t="n">
        <x:f>_xlfn.MAXIFS('랭크상세'!$Q$7:$Q$166,'랭크상세'!$A$7:$A$166,A21,'랭크상세'!$B$7:$B$166,"Normal")</x:f>
        <x:v>103</x:v>
      </x:c>
      <x:c r="F21" s="16" t="n">
        <x:f>'입력'!$F$15</x:f>
        <x:v>45</x:v>
      </x:c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 t="n">
        <x:v>15</x:v>
      </x:c>
      <x:c r="B22" s="8" t="n">
        <x:f>COUNTIFS('랭크상세'!$A$7:$A$166,A22,'랭크상세'!$B$7:$B$166,"Normal")</x:f>
        <x:v>8</x:v>
      </x:c>
      <x:c r="C22" s="16" t="n">
        <x:f>_xlfn.MINIFS('랭크상세'!$Q$7:$Q$166,'랭크상세'!$A$7:$A$166,A22,'랭크상세'!$B$7:$B$166,"Normal")</x:f>
        <x:v>101</x:v>
      </x:c>
      <x:c r="D22" s="16" t="n">
        <x:f>SUMPRODUCT(('랭크상세'!$A$7:$A$166=A22)*('랭크상세'!$B$7:$B$166="Normal")*'랭크상세'!$D$7:$D$166*'랭크상세'!$Q$7:$Q$166)/SUMIFS('랭크상세'!$D$7:$D$166,'랭크상세'!$A$7:$A$166,A22,'랭크상세'!$B$7:$B$166,"Normal")</x:f>
        <x:v>106.625</x:v>
      </x:c>
      <x:c r="E22" s="16" t="n">
        <x:f>_xlfn.MAXIFS('랭크상세'!$Q$7:$Q$166,'랭크상세'!$A$7:$A$166,A22,'랭크상세'!$B$7:$B$166,"Normal")</x:f>
        <x:v>115</x:v>
      </x:c>
      <x:c r="F22" s="16" t="n">
        <x:f>'입력'!$F$15</x:f>
        <x:v>45</x:v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23" customHeight="1">
      <x:c r="A23" s="8" t="n">
        <x:v>16</x:v>
      </x:c>
      <x:c r="B23" s="8" t="n">
        <x:f>COUNTIFS('랭크상세'!$A$7:$A$166,A23,'랭크상세'!$B$7:$B$166,"Normal")</x:f>
        <x:v>9</x:v>
      </x:c>
      <x:c r="C23" s="16" t="n">
        <x:f>_xlfn.MINIFS('랭크상세'!$Q$7:$Q$166,'랭크상세'!$A$7:$A$166,A23,'랭크상세'!$B$7:$B$166,"Normal")</x:f>
        <x:v>103</x:v>
      </x:c>
      <x:c r="D23" s="16" t="n">
        <x:f>SUMPRODUCT(('랭크상세'!$A$7:$A$166=A23)*('랭크상세'!$B$7:$B$166="Normal")*'랭크상세'!$D$7:$D$166*'랭크상세'!$Q$7:$Q$166)/SUMIFS('랭크상세'!$D$7:$D$166,'랭크상세'!$A$7:$A$166,A23,'랭크상세'!$B$7:$B$166,"Normal")</x:f>
        <x:v>109.33333333333333</x:v>
      </x:c>
      <x:c r="E23" s="16" t="n">
        <x:f>_xlfn.MAXIFS('랭크상세'!$Q$7:$Q$166,'랭크상세'!$A$7:$A$166,A23,'랭크상세'!$B$7:$B$166,"Normal")</x:f>
        <x:v>117</x:v>
      </x:c>
      <x:c r="F23" s="16" t="n">
        <x:f>'입력'!$F$15</x:f>
        <x:v>45</x:v>
      </x:c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 t="n">
        <x:v>17</x:v>
      </x:c>
      <x:c r="B24" s="8" t="n">
        <x:f>COUNTIFS('랭크상세'!$A$7:$A$166,A24,'랭크상세'!$B$7:$B$166,"Normal")</x:f>
        <x:v>9</x:v>
      </x:c>
      <x:c r="C24" s="16" t="n">
        <x:f>_xlfn.MINIFS('랭크상세'!$Q$7:$Q$166,'랭크상세'!$A$7:$A$166,A24,'랭크상세'!$B$7:$B$166,"Normal")</x:f>
        <x:v>109</x:v>
      </x:c>
      <x:c r="D24" s="16" t="n">
        <x:f>SUMPRODUCT(('랭크상세'!$A$7:$A$166=A24)*('랭크상세'!$B$7:$B$166="Normal")*'랭크상세'!$D$7:$D$166*'랭크상세'!$Q$7:$Q$166)/SUMIFS('랭크상세'!$D$7:$D$166,'랭크상세'!$A$7:$A$166,A24,'랭크상세'!$B$7:$B$166,"Normal")</x:f>
        <x:v>115.33333333333333</x:v>
      </x:c>
      <x:c r="E24" s="16" t="n">
        <x:f>_xlfn.MAXIFS('랭크상세'!$Q$7:$Q$166,'랭크상세'!$A$7:$A$166,A24,'랭크상세'!$B$7:$B$166,"Normal")</x:f>
        <x:v>123</x:v>
      </x:c>
      <x:c r="F24" s="16" t="n">
        <x:f>'입력'!$F$15</x:f>
        <x:v>45</x:v>
      </x:c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 t="n">
        <x:v>18</x:v>
      </x:c>
      <x:c r="B25" s="8" t="n">
        <x:f>COUNTIFS('랭크상세'!$A$7:$A$166,A25,'랭크상세'!$B$7:$B$166,"Normal")</x:f>
        <x:v>9</x:v>
      </x:c>
      <x:c r="C25" s="16" t="n">
        <x:f>_xlfn.MINIFS('랭크상세'!$Q$7:$Q$166,'랭크상세'!$A$7:$A$166,A25,'랭크상세'!$B$7:$B$166,"Normal")</x:f>
        <x:v>113</x:v>
      </x:c>
      <x:c r="D25" s="16" t="n">
        <x:f>SUMPRODUCT(('랭크상세'!$A$7:$A$166=A25)*('랭크상세'!$B$7:$B$166="Normal")*'랭크상세'!$D$7:$D$166*'랭크상세'!$Q$7:$Q$166)/SUMIFS('랭크상세'!$D$7:$D$166,'랭크상세'!$A$7:$A$166,A25,'랭크상세'!$B$7:$B$166,"Normal")</x:f>
        <x:v>119.33333333333333</x:v>
      </x:c>
      <x:c r="E25" s="16" t="n">
        <x:f>_xlfn.MAXIFS('랭크상세'!$Q$7:$Q$166,'랭크상세'!$A$7:$A$166,A25,'랭크상세'!$B$7:$B$166,"Normal")</x:f>
        <x:v>127</x:v>
      </x:c>
      <x:c r="F25" s="16" t="n">
        <x:f>'입력'!$F$15</x:f>
        <x:v>45</x:v>
      </x:c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 t="n">
        <x:v>19</x:v>
      </x:c>
      <x:c r="B26" s="8" t="n">
        <x:f>COUNTIFS('랭크상세'!$A$7:$A$166,A26,'랭크상세'!$B$7:$B$166,"Normal")</x:f>
        <x:v>9</x:v>
      </x:c>
      <x:c r="C26" s="16" t="n">
        <x:f>_xlfn.MINIFS('랭크상세'!$Q$7:$Q$166,'랭크상세'!$A$7:$A$166,A26,'랭크상세'!$B$7:$B$166,"Normal")</x:f>
        <x:v>115</x:v>
      </x:c>
      <x:c r="D26" s="16" t="n">
        <x:f>SUMPRODUCT(('랭크상세'!$A$7:$A$166=A26)*('랭크상세'!$B$7:$B$166="Normal")*'랭크상세'!$D$7:$D$166*'랭크상세'!$Q$7:$Q$166)/SUMIFS('랭크상세'!$D$7:$D$166,'랭크상세'!$A$7:$A$166,A26,'랭크상세'!$B$7:$B$166,"Normal")</x:f>
        <x:v>121.33333333333333</x:v>
      </x:c>
      <x:c r="E26" s="16" t="n">
        <x:f>_xlfn.MAXIFS('랭크상세'!$Q$7:$Q$166,'랭크상세'!$A$7:$A$166,A26,'랭크상세'!$B$7:$B$166,"Normal")</x:f>
        <x:v>129</x:v>
      </x:c>
      <x:c r="F26" s="16" t="n">
        <x:f>'입력'!$F$15</x:f>
        <x:v>45</x:v>
      </x:c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23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</x:row>
    <x:row r="31" ht="30" customHeight="1">
      <x:c r="A31" s="4" t="str">
        <x:v>승급 직전 티어</x:v>
      </x:c>
      <x:c r="B31" s="4" t="str">
        <x:v>일반전 평균</x:v>
      </x:c>
      <x:c r="C31" s="4" t="str">
        <x:v>승급전 평균</x:v>
      </x:c>
      <x:c r="D31" s="4" t="str">
        <x:v>상승률</x:v>
      </x:c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</x:row>
    <x:row r="32" ht="23" customHeight="1">
      <x:c r="A32" s="8" t="n">
        <x:v>3</x:v>
      </x:c>
      <x:c r="B32" s="8" t="n">
        <x:f>VLOOKUP(A32,$A$7:$F$26,4,FALSE)</x:f>
        <x:v>47.4</x:v>
      </x:c>
      <x:c r="C32" s="8" t="n">
        <x:f>SUMPRODUCT(('랭크상세'!$A$7:$A$166=A32)*('랭크상세'!$B$7:$B$166="GradeFinal")*'랭크상세'!$D$7:$D$166*'랭크상세'!$Q$7:$Q$166)/SUMIFS('랭크상세'!$D$7:$D$166,'랭크상세'!$A$7:$A$166,A32,'랭크상세'!$B$7:$B$166,"GradeFinal")</x:f>
        <x:v>64.2</x:v>
      </x:c>
      <x:c r="D32" s="17" t="n">
        <x:f>C32/B32-1</x:f>
        <x:v>0.35443037974683556</x:v>
      </x:c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 t="n">
        <x:v>7</x:v>
      </x:c>
      <x:c r="B33" s="8" t="n">
        <x:f>VLOOKUP(A33,$A$7:$F$26,4,FALSE)</x:f>
        <x:v>68.75</x:v>
      </x:c>
      <x:c r="C33" s="8" t="n">
        <x:f>SUMPRODUCT(('랭크상세'!$A$7:$A$166=A33)*('랭크상세'!$B$7:$B$166="GradeFinal")*'랭크상세'!$D$7:$D$166*'랭크상세'!$Q$7:$Q$166)/SUMIFS('랭크상세'!$D$7:$D$166,'랭크상세'!$A$7:$A$166,A33,'랭크상세'!$B$7:$B$166,"GradeFinal")</x:f>
        <x:v>77.5</x:v>
      </x:c>
      <x:c r="D33" s="17" t="n">
        <x:f>C33/B33-1</x:f>
        <x:v>0.1272727272727272</x:v>
      </x:c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 t="n">
        <x:v>11</x:v>
      </x:c>
      <x:c r="B34" s="8" t="n">
        <x:f>VLOOKUP(A34,$A$7:$F$26,4,FALSE)</x:f>
        <x:v>84.875</x:v>
      </x:c>
      <x:c r="C34" s="8" t="n">
        <x:f>SUMPRODUCT(('랭크상세'!$A$7:$A$166=A34)*('랭크상세'!$B$7:$B$166="GradeFinal")*'랭크상세'!$D$7:$D$166*'랭크상세'!$Q$7:$Q$166)/SUMIFS('랭크상세'!$D$7:$D$166,'랭크상세'!$A$7:$A$166,A34,'랭크상세'!$B$7:$B$166,"GradeFinal")</x:f>
        <x:v>95</x:v>
      </x:c>
      <x:c r="D34" s="17" t="n">
        <x:f>C34/B34-1</x:f>
        <x:v>0.11929307805596467</x:v>
      </x:c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23" customHeight="1">
      <x:c r="A35" s="8" t="n">
        <x:v>15</x:v>
      </x:c>
      <x:c r="B35" s="8" t="n">
        <x:f>VLOOKUP(A35,$A$7:$F$26,4,FALSE)</x:f>
        <x:v>106.625</x:v>
      </x:c>
      <x:c r="C35" s="8" t="n">
        <x:f>SUMPRODUCT(('랭크상세'!$A$7:$A$166=A35)*('랭크상세'!$B$7:$B$166="GradeFinal")*'랭크상세'!$D$7:$D$166*'랭크상세'!$Q$7:$Q$166)/SUMIFS('랭크상세'!$D$7:$D$166,'랭크상세'!$A$7:$A$166,A35,'랭크상세'!$B$7:$B$166,"GradeFinal")</x:f>
        <x:v>107.625</x:v>
      </x:c>
      <x:c r="D35" s="17" t="n">
        <x:f>C35/B35-1</x:f>
        <x:v>0.009378663540445586</x:v>
      </x:c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pageMargins left="0.7" right="0.7" top="0.75" bottom="0.75" header="0.3" footer="0.3"/>
  <x:drawing xmlns:r="http://schemas.openxmlformats.org/officeDocument/2006/relationships" r:id="R84e17cc31948454b"/>
</x:worksheet>
</file>

<file path=xl/worksheets/sheet5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모험 진행에 따른 조각 잔액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추가 수입·강화비는 직접 입력합니다. 정점 보상은 클리어 후 적립되므로 해당 전투 준비금에는 포함되지 않습니다.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30" customHeight="1">
      <x:c r="A6" s="4" t="str">
        <x:v>정점</x:v>
      </x:c>
      <x:c r="B6" s="4" t="str">
        <x:v>진입 전 잔액</x:v>
      </x:c>
      <x:c r="C6" s="4" t="str">
        <x:v>추가 수입</x:v>
      </x:c>
      <x:c r="D6" s="4" t="str">
        <x:v>강화비</x:v>
      </x:c>
      <x:c r="E6" s="4" t="str">
        <x:v>전투 준비 잔액</x:v>
      </x:c>
      <x:c r="F6" s="4" t="str">
        <x:v>클리어 조각</x:v>
      </x:c>
      <x:c r="G6" s="4" t="str">
        <x:v>누적 수입</x:v>
      </x:c>
      <x:c r="H6" s="4" t="str">
        <x:v>누적 소비</x:v>
      </x:c>
      <x:c r="I6" s="4" t="str">
        <x:v>클리어 후 잔액</x:v>
      </x:c>
      <x:c r="J6" s="8"/>
      <x:c r="K6" s="8"/>
      <x:c r="L6" s="8"/>
      <x:c r="M6" s="8"/>
      <x:c r="N6" s="8"/>
      <x:c r="O6" s="8"/>
      <x:c r="P6" s="8"/>
      <x:c r="Q6" s="8"/>
      <x:c r="R6" s="8"/>
    </x:row>
    <x:row r="7" ht="23" customHeight="1">
      <x:c r="A7" s="8" t="str">
        <x:v>node_01</x:v>
      </x:c>
      <x:c r="B7" s="8" t="n">
        <x:f>'입력'!$B$23</x:f>
        <x:v>0</x:v>
      </x:c>
      <x:c r="C7" s="12" t="n">
        <x:v>0</x:v>
      </x:c>
      <x:c r="D7" s="12" t="n">
        <x:v>0</x:v>
      </x:c>
      <x:c r="E7" s="8" t="n">
        <x:f>B7+C7-D7</x:f>
        <x:v>0</x:v>
      </x:c>
      <x:c r="F7" s="8" t="n">
        <x:f>SUMIFS('원본_Reward'!$G$2:$G$214,'원본_Reward'!$B$2:$B$214,"Adventure",'원본_Reward'!$C$2:$C$214,A7,'원본_Reward'!$E$2:$E$214,"Currency",'원본_Reward'!$F$2:$F$214,"Shard")</x:f>
        <x:v>20</x:v>
      </x:c>
      <x:c r="G7" s="8" t="n">
        <x:f>'입력'!$B$23+SUM($C$7:C7)+SUM($F$7:F7)</x:f>
        <x:v>20</x:v>
      </x:c>
      <x:c r="H7" s="8" t="n">
        <x:f>SUM($D$7:D7)</x:f>
        <x:v>0</x:v>
      </x:c>
      <x:c r="I7" s="8" t="n">
        <x:f>E7+F7</x:f>
        <x:v>20</x:v>
      </x:c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 t="str">
        <x:v>node_02</x:v>
      </x:c>
      <x:c r="B8" s="8" t="n">
        <x:f>I7</x:f>
        <x:v>20</x:v>
      </x:c>
      <x:c r="C8" s="12" t="n">
        <x:v>0</x:v>
      </x:c>
      <x:c r="D8" s="12" t="n">
        <x:v>0</x:v>
      </x:c>
      <x:c r="E8" s="8" t="n">
        <x:f>B8+C8-D8</x:f>
        <x:v>20</x:v>
      </x:c>
      <x:c r="F8" s="8" t="n">
        <x:f>SUMIFS('원본_Reward'!$G$2:$G$214,'원본_Reward'!$B$2:$B$214,"Adventure",'원본_Reward'!$C$2:$C$214,A8,'원본_Reward'!$E$2:$E$214,"Currency",'원본_Reward'!$F$2:$F$214,"Shard")</x:f>
        <x:v>20</x:v>
      </x:c>
      <x:c r="G8" s="8" t="n">
        <x:f>'입력'!$B$23+SUM($C$7:C8)+SUM($F$7:F8)</x:f>
        <x:v>40</x:v>
      </x:c>
      <x:c r="H8" s="8" t="n">
        <x:f>SUM($D$7:D8)</x:f>
        <x:v>0</x:v>
      </x:c>
      <x:c r="I8" s="8" t="n">
        <x:f>E8+F8</x:f>
        <x:v>40</x:v>
      </x:c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 t="str">
        <x:v>node_03</x:v>
      </x:c>
      <x:c r="B9" s="8" t="n">
        <x:f>I8</x:f>
        <x:v>40</x:v>
      </x:c>
      <x:c r="C9" s="12" t="n">
        <x:v>0</x:v>
      </x:c>
      <x:c r="D9" s="12" t="n">
        <x:v>0</x:v>
      </x:c>
      <x:c r="E9" s="8" t="n">
        <x:f>B9+C9-D9</x:f>
        <x:v>40</x:v>
      </x:c>
      <x:c r="F9" s="8" t="n">
        <x:f>SUMIFS('원본_Reward'!$G$2:$G$214,'원본_Reward'!$B$2:$B$214,"Adventure",'원본_Reward'!$C$2:$C$214,A9,'원본_Reward'!$E$2:$E$214,"Currency",'원본_Reward'!$F$2:$F$214,"Shard")</x:f>
        <x:v>20</x:v>
      </x:c>
      <x:c r="G9" s="8" t="n">
        <x:f>'입력'!$B$23+SUM($C$7:C9)+SUM($F$7:F9)</x:f>
        <x:v>60</x:v>
      </x:c>
      <x:c r="H9" s="8" t="n">
        <x:f>SUM($D$7:D9)</x:f>
        <x:v>0</x:v>
      </x:c>
      <x:c r="I9" s="8" t="n">
        <x:f>E9+F9</x:f>
        <x:v>60</x:v>
      </x:c>
      <x:c r="J9" s="8"/>
      <x:c r="K9" s="8"/>
      <x:c r="L9" s="8"/>
      <x:c r="M9" s="8"/>
      <x:c r="N9" s="8"/>
      <x:c r="O9" s="8"/>
      <x:c r="P9" s="8"/>
      <x:c r="Q9" s="8"/>
      <x:c r="R9" s="8"/>
    </x:row>
    <x:row r="10" ht="23" customHeight="1">
      <x:c r="A10" s="8" t="str">
        <x:v>node_04</x:v>
      </x:c>
      <x:c r="B10" s="8" t="n">
        <x:f>I9</x:f>
        <x:v>60</x:v>
      </x:c>
      <x:c r="C10" s="12" t="n">
        <x:v>0</x:v>
      </x:c>
      <x:c r="D10" s="12" t="n">
        <x:v>0</x:v>
      </x:c>
      <x:c r="E10" s="8" t="n">
        <x:f>B10+C10-D10</x:f>
        <x:v>60</x:v>
      </x:c>
      <x:c r="F10" s="8" t="n">
        <x:f>SUMIFS('원본_Reward'!$G$2:$G$214,'원본_Reward'!$B$2:$B$214,"Adventure",'원본_Reward'!$C$2:$C$214,A10,'원본_Reward'!$E$2:$E$214,"Currency",'원본_Reward'!$F$2:$F$214,"Shard")</x:f>
        <x:v>50</x:v>
      </x:c>
      <x:c r="G10" s="8" t="n">
        <x:f>'입력'!$B$23+SUM($C$7:C10)+SUM($F$7:F10)</x:f>
        <x:v>110</x:v>
      </x:c>
      <x:c r="H10" s="8" t="n">
        <x:f>SUM($D$7:D10)</x:f>
        <x:v>0</x:v>
      </x:c>
      <x:c r="I10" s="8" t="n">
        <x:f>E10+F10</x:f>
        <x:v>110</x:v>
      </x:c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str">
        <x:v>node_05</x:v>
      </x:c>
      <x:c r="B11" s="8" t="n">
        <x:f>I10</x:f>
        <x:v>110</x:v>
      </x:c>
      <x:c r="C11" s="12" t="n">
        <x:v>0</x:v>
      </x:c>
      <x:c r="D11" s="12" t="n">
        <x:v>0</x:v>
      </x:c>
      <x:c r="E11" s="8" t="n">
        <x:f>B11+C11-D11</x:f>
        <x:v>110</x:v>
      </x:c>
      <x:c r="F11" s="8" t="n">
        <x:f>SUMIFS('원본_Reward'!$G$2:$G$214,'원본_Reward'!$B$2:$B$214,"Adventure",'원본_Reward'!$C$2:$C$214,A11,'원본_Reward'!$E$2:$E$214,"Currency",'원본_Reward'!$F$2:$F$214,"Shard")</x:f>
        <x:v>40</x:v>
      </x:c>
      <x:c r="G11" s="8" t="n">
        <x:f>'입력'!$B$23+SUM($C$7:C11)+SUM($F$7:F11)</x:f>
        <x:v>150</x:v>
      </x:c>
      <x:c r="H11" s="8" t="n">
        <x:f>SUM($D$7:D11)</x:f>
        <x:v>0</x:v>
      </x:c>
      <x:c r="I11" s="8" t="n">
        <x:f>E11+F11</x:f>
        <x:v>150</x:v>
      </x:c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str">
        <x:v>node_06</x:v>
      </x:c>
      <x:c r="B12" s="8" t="n">
        <x:f>I11</x:f>
        <x:v>150</x:v>
      </x:c>
      <x:c r="C12" s="12" t="n">
        <x:v>0</x:v>
      </x:c>
      <x:c r="D12" s="12" t="n">
        <x:v>0</x:v>
      </x:c>
      <x:c r="E12" s="8" t="n">
        <x:f>B12+C12-D12</x:f>
        <x:v>150</x:v>
      </x:c>
      <x:c r="F12" s="8" t="n">
        <x:f>SUMIFS('원본_Reward'!$G$2:$G$214,'원본_Reward'!$B$2:$B$214,"Adventure",'원본_Reward'!$C$2:$C$214,A12,'원본_Reward'!$E$2:$E$214,"Currency",'원본_Reward'!$F$2:$F$214,"Shard")</x:f>
        <x:v>30</x:v>
      </x:c>
      <x:c r="G12" s="8" t="n">
        <x:f>'입력'!$B$23+SUM($C$7:C12)+SUM($F$7:F12)</x:f>
        <x:v>180</x:v>
      </x:c>
      <x:c r="H12" s="8" t="n">
        <x:f>SUM($D$7:D12)</x:f>
        <x:v>0</x:v>
      </x:c>
      <x:c r="I12" s="8" t="n">
        <x:f>E12+F12</x:f>
        <x:v>180</x:v>
      </x:c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str">
        <x:v>node_07</x:v>
      </x:c>
      <x:c r="B13" s="8" t="n">
        <x:f>I12</x:f>
        <x:v>180</x:v>
      </x:c>
      <x:c r="C13" s="12" t="n">
        <x:v>0</x:v>
      </x:c>
      <x:c r="D13" s="12" t="n">
        <x:v>0</x:v>
      </x:c>
      <x:c r="E13" s="8" t="n">
        <x:f>B13+C13-D13</x:f>
        <x:v>180</x:v>
      </x:c>
      <x:c r="F13" s="8" t="n">
        <x:f>SUMIFS('원본_Reward'!$G$2:$G$214,'원본_Reward'!$B$2:$B$214,"Adventure",'원본_Reward'!$C$2:$C$214,A13,'원본_Reward'!$E$2:$E$214,"Currency",'원본_Reward'!$F$2:$F$214,"Shard")</x:f>
        <x:v>30</x:v>
      </x:c>
      <x:c r="G13" s="8" t="n">
        <x:f>'입력'!$B$23+SUM($C$7:C13)+SUM($F$7:F13)</x:f>
        <x:v>210</x:v>
      </x:c>
      <x:c r="H13" s="8" t="n">
        <x:f>SUM($D$7:D13)</x:f>
        <x:v>0</x:v>
      </x:c>
      <x:c r="I13" s="8" t="n">
        <x:f>E13+F13</x:f>
        <x:v>210</x:v>
      </x:c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 t="str">
        <x:v>node_08</x:v>
      </x:c>
      <x:c r="B14" s="8" t="n">
        <x:f>I13</x:f>
        <x:v>210</x:v>
      </x:c>
      <x:c r="C14" s="12" t="n">
        <x:v>0</x:v>
      </x:c>
      <x:c r="D14" s="12" t="n">
        <x:v>0</x:v>
      </x:c>
      <x:c r="E14" s="8" t="n">
        <x:f>B14+C14-D14</x:f>
        <x:v>210</x:v>
      </x:c>
      <x:c r="F14" s="8" t="n">
        <x:f>SUMIFS('원본_Reward'!$G$2:$G$214,'원본_Reward'!$B$2:$B$214,"Adventure",'원본_Reward'!$C$2:$C$214,A14,'원본_Reward'!$E$2:$E$214,"Currency",'원본_Reward'!$F$2:$F$214,"Shard")</x:f>
        <x:v>30</x:v>
      </x:c>
      <x:c r="G14" s="8" t="n">
        <x:f>'입력'!$B$23+SUM($C$7:C14)+SUM($F$7:F14)</x:f>
        <x:v>240</x:v>
      </x:c>
      <x:c r="H14" s="8" t="n">
        <x:f>SUM($D$7:D14)</x:f>
        <x:v>0</x:v>
      </x:c>
      <x:c r="I14" s="8" t="n">
        <x:f>E14+F14</x:f>
        <x:v>240</x:v>
      </x:c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 t="str">
        <x:v>node_09</x:v>
      </x:c>
      <x:c r="B15" s="8" t="n">
        <x:f>I14</x:f>
        <x:v>240</x:v>
      </x:c>
      <x:c r="C15" s="12" t="n">
        <x:v>0</x:v>
      </x:c>
      <x:c r="D15" s="12" t="n">
        <x:v>0</x:v>
      </x:c>
      <x:c r="E15" s="8" t="n">
        <x:f>B15+C15-D15</x:f>
        <x:v>240</x:v>
      </x:c>
      <x:c r="F15" s="8" t="n">
        <x:f>SUMIFS('원본_Reward'!$G$2:$G$214,'원본_Reward'!$B$2:$B$214,"Adventure",'원본_Reward'!$C$2:$C$214,A15,'원본_Reward'!$E$2:$E$214,"Currency",'원본_Reward'!$F$2:$F$214,"Shard")</x:f>
        <x:v>30</x:v>
      </x:c>
      <x:c r="G15" s="8" t="n">
        <x:f>'입력'!$B$23+SUM($C$7:C15)+SUM($F$7:F15)</x:f>
        <x:v>270</x:v>
      </x:c>
      <x:c r="H15" s="8" t="n">
        <x:f>SUM($D$7:D15)</x:f>
        <x:v>0</x:v>
      </x:c>
      <x:c r="I15" s="8" t="n">
        <x:f>E15+F15</x:f>
        <x:v>270</x:v>
      </x:c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 t="str">
        <x:v>node_10</x:v>
      </x:c>
      <x:c r="B16" s="8" t="n">
        <x:f>I15</x:f>
        <x:v>270</x:v>
      </x:c>
      <x:c r="C16" s="12" t="n">
        <x:v>0</x:v>
      </x:c>
      <x:c r="D16" s="12" t="n">
        <x:v>0</x:v>
      </x:c>
      <x:c r="E16" s="8" t="n">
        <x:f>B16+C16-D16</x:f>
        <x:v>270</x:v>
      </x:c>
      <x:c r="F16" s="8" t="n">
        <x:f>SUMIFS('원본_Reward'!$G$2:$G$214,'원본_Reward'!$B$2:$B$214,"Adventure",'원본_Reward'!$C$2:$C$214,A16,'원본_Reward'!$E$2:$E$214,"Currency",'원본_Reward'!$F$2:$F$214,"Shard")</x:f>
        <x:v>50</x:v>
      </x:c>
      <x:c r="G16" s="8" t="n">
        <x:f>'입력'!$B$23+SUM($C$7:C16)+SUM($F$7:F16)</x:f>
        <x:v>320</x:v>
      </x:c>
      <x:c r="H16" s="8" t="n">
        <x:f>SUM($D$7:D16)</x:f>
        <x:v>0</x:v>
      </x:c>
      <x:c r="I16" s="8" t="n">
        <x:f>E16+F16</x:f>
        <x:v>320</x:v>
      </x:c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 t="str">
        <x:v>node_11</x:v>
      </x:c>
      <x:c r="B17" s="8" t="n">
        <x:f>I16</x:f>
        <x:v>320</x:v>
      </x:c>
      <x:c r="C17" s="12" t="n">
        <x:v>0</x:v>
      </x:c>
      <x:c r="D17" s="12" t="n">
        <x:v>0</x:v>
      </x:c>
      <x:c r="E17" s="8" t="n">
        <x:f>B17+C17-D17</x:f>
        <x:v>320</x:v>
      </x:c>
      <x:c r="F17" s="8" t="n">
        <x:f>SUMIFS('원본_Reward'!$G$2:$G$214,'원본_Reward'!$B$2:$B$214,"Adventure",'원본_Reward'!$C$2:$C$214,A17,'원본_Reward'!$E$2:$E$214,"Currency",'원본_Reward'!$F$2:$F$214,"Shard")</x:f>
        <x:v>50</x:v>
      </x:c>
      <x:c r="G17" s="8" t="n">
        <x:f>'입력'!$B$23+SUM($C$7:C17)+SUM($F$7:F17)</x:f>
        <x:v>370</x:v>
      </x:c>
      <x:c r="H17" s="8" t="n">
        <x:f>SUM($D$7:D17)</x:f>
        <x:v>0</x:v>
      </x:c>
      <x:c r="I17" s="8" t="n">
        <x:f>E17+F17</x:f>
        <x:v>370</x:v>
      </x:c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23" customHeight="1">
      <x:c r="A18" s="8" t="str">
        <x:v>node_12</x:v>
      </x:c>
      <x:c r="B18" s="8" t="n">
        <x:f>I17</x:f>
        <x:v>370</x:v>
      </x:c>
      <x:c r="C18" s="12" t="n">
        <x:v>0</x:v>
      </x:c>
      <x:c r="D18" s="12" t="n">
        <x:v>0</x:v>
      </x:c>
      <x:c r="E18" s="8" t="n">
        <x:f>B18+C18-D18</x:f>
        <x:v>370</x:v>
      </x:c>
      <x:c r="F18" s="8" t="n">
        <x:f>SUMIFS('원본_Reward'!$G$2:$G$214,'원본_Reward'!$B$2:$B$214,"Adventure",'원본_Reward'!$C$2:$C$214,A18,'원본_Reward'!$E$2:$E$214,"Currency",'원본_Reward'!$F$2:$F$214,"Shard")</x:f>
        <x:v>40</x:v>
      </x:c>
      <x:c r="G18" s="8" t="n">
        <x:f>'입력'!$B$23+SUM($C$7:C18)+SUM($F$7:F18)</x:f>
        <x:v>410</x:v>
      </x:c>
      <x:c r="H18" s="8" t="n">
        <x:f>SUM($D$7:D18)</x:f>
        <x:v>0</x:v>
      </x:c>
      <x:c r="I18" s="8" t="n">
        <x:f>E18+F18</x:f>
        <x:v>410</x:v>
      </x:c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str">
        <x:v>node_13</x:v>
      </x:c>
      <x:c r="B19" s="8" t="n">
        <x:f>I18</x:f>
        <x:v>410</x:v>
      </x:c>
      <x:c r="C19" s="12" t="n">
        <x:v>0</x:v>
      </x:c>
      <x:c r="D19" s="12" t="n">
        <x:v>0</x:v>
      </x:c>
      <x:c r="E19" s="8" t="n">
        <x:f>B19+C19-D19</x:f>
        <x:v>410</x:v>
      </x:c>
      <x:c r="F19" s="8" t="n">
        <x:f>SUMIFS('원본_Reward'!$G$2:$G$214,'원본_Reward'!$B$2:$B$214,"Adventure",'원본_Reward'!$C$2:$C$214,A19,'원본_Reward'!$E$2:$E$214,"Currency",'원본_Reward'!$F$2:$F$214,"Shard")</x:f>
        <x:v>40</x:v>
      </x:c>
      <x:c r="G19" s="8" t="n">
        <x:f>'입력'!$B$23+SUM($C$7:C19)+SUM($F$7:F19)</x:f>
        <x:v>450</x:v>
      </x:c>
      <x:c r="H19" s="8" t="n">
        <x:f>SUM($D$7:D19)</x:f>
        <x:v>0</x:v>
      </x:c>
      <x:c r="I19" s="8" t="n">
        <x:f>E19+F19</x:f>
        <x:v>450</x:v>
      </x:c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 t="str">
        <x:v>node_14</x:v>
      </x:c>
      <x:c r="B20" s="8" t="n">
        <x:f>I19</x:f>
        <x:v>450</x:v>
      </x:c>
      <x:c r="C20" s="12" t="n">
        <x:v>0</x:v>
      </x:c>
      <x:c r="D20" s="12" t="n">
        <x:v>0</x:v>
      </x:c>
      <x:c r="E20" s="8" t="n">
        <x:f>B20+C20-D20</x:f>
        <x:v>450</x:v>
      </x:c>
      <x:c r="F20" s="8" t="n">
        <x:f>SUMIFS('원본_Reward'!$G$2:$G$214,'원본_Reward'!$B$2:$B$214,"Adventure",'원본_Reward'!$C$2:$C$214,A20,'원본_Reward'!$E$2:$E$214,"Currency",'원본_Reward'!$F$2:$F$214,"Shard")</x:f>
        <x:v>40</x:v>
      </x:c>
      <x:c r="G20" s="8" t="n">
        <x:f>'입력'!$B$23+SUM($C$7:C20)+SUM($F$7:F20)</x:f>
        <x:v>490</x:v>
      </x:c>
      <x:c r="H20" s="8" t="n">
        <x:f>SUM($D$7:D20)</x:f>
        <x:v>0</x:v>
      </x:c>
      <x:c r="I20" s="8" t="n">
        <x:f>E20+F20</x:f>
        <x:v>490</x:v>
      </x:c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 t="str">
        <x:v>node_15</x:v>
      </x:c>
      <x:c r="B21" s="8" t="n">
        <x:f>I20</x:f>
        <x:v>490</x:v>
      </x:c>
      <x:c r="C21" s="12" t="n">
        <x:v>0</x:v>
      </x:c>
      <x:c r="D21" s="12" t="n">
        <x:v>0</x:v>
      </x:c>
      <x:c r="E21" s="8" t="n">
        <x:f>B21+C21-D21</x:f>
        <x:v>490</x:v>
      </x:c>
      <x:c r="F21" s="8" t="n">
        <x:f>SUMIFS('원본_Reward'!$G$2:$G$214,'원본_Reward'!$B$2:$B$214,"Adventure",'원본_Reward'!$C$2:$C$214,A21,'원본_Reward'!$E$2:$E$214,"Currency",'원본_Reward'!$F$2:$F$214,"Shard")</x:f>
        <x:v>40</x:v>
      </x:c>
      <x:c r="G21" s="8" t="n">
        <x:f>'입력'!$B$23+SUM($C$7:C21)+SUM($F$7:F21)</x:f>
        <x:v>530</x:v>
      </x:c>
      <x:c r="H21" s="8" t="n">
        <x:f>SUM($D$7:D21)</x:f>
        <x:v>0</x:v>
      </x:c>
      <x:c r="I21" s="8" t="n">
        <x:f>E21+F21</x:f>
        <x:v>530</x:v>
      </x:c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 t="str">
        <x:v>node_16</x:v>
      </x:c>
      <x:c r="B22" s="8" t="n">
        <x:f>I21</x:f>
        <x:v>530</x:v>
      </x:c>
      <x:c r="C22" s="12" t="n">
        <x:v>0</x:v>
      </x:c>
      <x:c r="D22" s="12" t="n">
        <x:v>0</x:v>
      </x:c>
      <x:c r="E22" s="8" t="n">
        <x:f>B22+C22-D22</x:f>
        <x:v>530</x:v>
      </x:c>
      <x:c r="F22" s="8" t="n">
        <x:f>SUMIFS('원본_Reward'!$G$2:$G$214,'원본_Reward'!$B$2:$B$214,"Adventure",'원본_Reward'!$C$2:$C$214,A22,'원본_Reward'!$E$2:$E$214,"Currency",'원본_Reward'!$F$2:$F$214,"Shard")</x:f>
        <x:v>60</x:v>
      </x:c>
      <x:c r="G22" s="8" t="n">
        <x:f>'입력'!$B$23+SUM($C$7:C22)+SUM($F$7:F22)</x:f>
        <x:v>590</x:v>
      </x:c>
      <x:c r="H22" s="8" t="n">
        <x:f>SUM($D$7:D22)</x:f>
        <x:v>0</x:v>
      </x:c>
      <x:c r="I22" s="8" t="n">
        <x:f>E22+F22</x:f>
        <x:v>590</x:v>
      </x:c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23" customHeight="1">
      <x:c r="A23" s="8" t="str">
        <x:v>node_17</x:v>
      </x:c>
      <x:c r="B23" s="8" t="n">
        <x:f>I22</x:f>
        <x:v>590</x:v>
      </x:c>
      <x:c r="C23" s="12" t="n">
        <x:v>0</x:v>
      </x:c>
      <x:c r="D23" s="12" t="n">
        <x:v>0</x:v>
      </x:c>
      <x:c r="E23" s="8" t="n">
        <x:f>B23+C23-D23</x:f>
        <x:v>590</x:v>
      </x:c>
      <x:c r="F23" s="8" t="n">
        <x:f>SUMIFS('원본_Reward'!$G$2:$G$214,'원본_Reward'!$B$2:$B$214,"Adventure",'원본_Reward'!$C$2:$C$214,A23,'원본_Reward'!$E$2:$E$214,"Currency",'원본_Reward'!$F$2:$F$214,"Shard")</x:f>
        <x:v>60</x:v>
      </x:c>
      <x:c r="G23" s="8" t="n">
        <x:f>'입력'!$B$23+SUM($C$7:C23)+SUM($F$7:F23)</x:f>
        <x:v>650</x:v>
      </x:c>
      <x:c r="H23" s="8" t="n">
        <x:f>SUM($D$7:D23)</x:f>
        <x:v>0</x:v>
      </x:c>
      <x:c r="I23" s="8" t="n">
        <x:f>E23+F23</x:f>
        <x:v>650</x:v>
      </x:c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 t="str">
        <x:v>node_18</x:v>
      </x:c>
      <x:c r="B24" s="8" t="n">
        <x:f>I23</x:f>
        <x:v>650</x:v>
      </x:c>
      <x:c r="C24" s="12" t="n">
        <x:v>0</x:v>
      </x:c>
      <x:c r="D24" s="12" t="n">
        <x:v>0</x:v>
      </x:c>
      <x:c r="E24" s="8" t="n">
        <x:f>B24+C24-D24</x:f>
        <x:v>650</x:v>
      </x:c>
      <x:c r="F24" s="8" t="n">
        <x:f>SUMIFS('원본_Reward'!$G$2:$G$214,'원본_Reward'!$B$2:$B$214,"Adventure",'원본_Reward'!$C$2:$C$214,A24,'원본_Reward'!$E$2:$E$214,"Currency",'원본_Reward'!$F$2:$F$214,"Shard")</x:f>
        <x:v>50</x:v>
      </x:c>
      <x:c r="G24" s="8" t="n">
        <x:f>'입력'!$B$23+SUM($C$7:C24)+SUM($F$7:F24)</x:f>
        <x:v>700</x:v>
      </x:c>
      <x:c r="H24" s="8" t="n">
        <x:f>SUM($D$7:D24)</x:f>
        <x:v>0</x:v>
      </x:c>
      <x:c r="I24" s="8" t="n">
        <x:f>E24+F24</x:f>
        <x:v>700</x:v>
      </x:c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 t="str">
        <x:v>node_19</x:v>
      </x:c>
      <x:c r="B25" s="8" t="n">
        <x:f>I24</x:f>
        <x:v>700</x:v>
      </x:c>
      <x:c r="C25" s="12" t="n">
        <x:v>0</x:v>
      </x:c>
      <x:c r="D25" s="12" t="n">
        <x:v>0</x:v>
      </x:c>
      <x:c r="E25" s="8" t="n">
        <x:f>B25+C25-D25</x:f>
        <x:v>700</x:v>
      </x:c>
      <x:c r="F25" s="8" t="n">
        <x:f>SUMIFS('원본_Reward'!$G$2:$G$214,'원본_Reward'!$B$2:$B$214,"Adventure",'원본_Reward'!$C$2:$C$214,A25,'원본_Reward'!$E$2:$E$214,"Currency",'원본_Reward'!$F$2:$F$214,"Shard")</x:f>
        <x:v>50</x:v>
      </x:c>
      <x:c r="G25" s="8" t="n">
        <x:f>'입력'!$B$23+SUM($C$7:C25)+SUM($F$7:F25)</x:f>
        <x:v>750</x:v>
      </x:c>
      <x:c r="H25" s="8" t="n">
        <x:f>SUM($D$7:D25)</x:f>
        <x:v>0</x:v>
      </x:c>
      <x:c r="I25" s="8" t="n">
        <x:f>E25+F25</x:f>
        <x:v>750</x:v>
      </x:c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 t="str">
        <x:v>node_20</x:v>
      </x:c>
      <x:c r="B26" s="8" t="n">
        <x:f>I25</x:f>
        <x:v>750</x:v>
      </x:c>
      <x:c r="C26" s="12" t="n">
        <x:v>0</x:v>
      </x:c>
      <x:c r="D26" s="12" t="n">
        <x:v>0</x:v>
      </x:c>
      <x:c r="E26" s="8" t="n">
        <x:f>B26+C26-D26</x:f>
        <x:v>750</x:v>
      </x:c>
      <x:c r="F26" s="8" t="n">
        <x:f>SUMIFS('원본_Reward'!$G$2:$G$214,'원본_Reward'!$B$2:$B$214,"Adventure",'원본_Reward'!$C$2:$C$214,A26,'원본_Reward'!$E$2:$E$214,"Currency",'원본_Reward'!$F$2:$F$214,"Shard")</x:f>
        <x:v>50</x:v>
      </x:c>
      <x:c r="G26" s="8" t="n">
        <x:f>'입력'!$B$23+SUM($C$7:C26)+SUM($F$7:F26)</x:f>
        <x:v>800</x:v>
      </x:c>
      <x:c r="H26" s="8" t="n">
        <x:f>SUM($D$7:D26)</x:f>
        <x:v>0</x:v>
      </x:c>
      <x:c r="I26" s="8" t="n">
        <x:f>E26+F26</x:f>
        <x:v>800</x:v>
      </x:c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23" customHeight="1">
      <x:c r="A27" s="8" t="str">
        <x:v>node_21</x:v>
      </x:c>
      <x:c r="B27" s="8" t="n">
        <x:f>I26</x:f>
        <x:v>800</x:v>
      </x:c>
      <x:c r="C27" s="12" t="n">
        <x:v>0</x:v>
      </x:c>
      <x:c r="D27" s="12" t="n">
        <x:v>0</x:v>
      </x:c>
      <x:c r="E27" s="8" t="n">
        <x:f>B27+C27-D27</x:f>
        <x:v>800</x:v>
      </x:c>
      <x:c r="F27" s="8" t="n">
        <x:f>SUMIFS('원본_Reward'!$G$2:$G$214,'원본_Reward'!$B$2:$B$214,"Adventure",'원본_Reward'!$C$2:$C$214,A27,'원본_Reward'!$E$2:$E$214,"Currency",'원본_Reward'!$F$2:$F$214,"Shard")</x:f>
        <x:v>50</x:v>
      </x:c>
      <x:c r="G27" s="8" t="n">
        <x:f>'입력'!$B$23+SUM($C$7:C27)+SUM($F$7:F27)</x:f>
        <x:v>850</x:v>
      </x:c>
      <x:c r="H27" s="8" t="n">
        <x:f>SUM($D$7:D27)</x:f>
        <x:v>0</x:v>
      </x:c>
      <x:c r="I27" s="8" t="n">
        <x:f>E27+F27</x:f>
        <x:v>850</x:v>
      </x:c>
      <x:c r="J27" s="8"/>
      <x:c r="K27" s="8"/>
      <x:c r="L27" s="8"/>
      <x:c r="M27" s="8"/>
      <x:c r="N27" s="8"/>
      <x:c r="O27" s="8"/>
      <x:c r="P27" s="8"/>
      <x:c r="Q27" s="8"/>
      <x:c r="R27" s="8"/>
    </x:row>
    <x:row r="28" ht="23" customHeight="1">
      <x:c r="A28" s="8" t="str">
        <x:v>node_22</x:v>
      </x:c>
      <x:c r="B28" s="8" t="n">
        <x:f>I27</x:f>
        <x:v>850</x:v>
      </x:c>
      <x:c r="C28" s="12" t="n">
        <x:v>0</x:v>
      </x:c>
      <x:c r="D28" s="12" t="n">
        <x:v>0</x:v>
      </x:c>
      <x:c r="E28" s="8" t="n">
        <x:f>B28+C28-D28</x:f>
        <x:v>850</x:v>
      </x:c>
      <x:c r="F28" s="8" t="n">
        <x:f>SUMIFS('원본_Reward'!$G$2:$G$214,'원본_Reward'!$B$2:$B$214,"Adventure",'원본_Reward'!$C$2:$C$214,A28,'원본_Reward'!$E$2:$E$214,"Currency",'원본_Reward'!$F$2:$F$214,"Shard")</x:f>
        <x:v>70</x:v>
      </x:c>
      <x:c r="G28" s="8" t="n">
        <x:f>'입력'!$B$23+SUM($C$7:C28)+SUM($F$7:F28)</x:f>
        <x:v>920</x:v>
      </x:c>
      <x:c r="H28" s="8" t="n">
        <x:f>SUM($D$7:D28)</x:f>
        <x:v>0</x:v>
      </x:c>
      <x:c r="I28" s="8" t="n">
        <x:f>E28+F28</x:f>
        <x:v>920</x:v>
      </x:c>
      <x:c r="J28" s="8"/>
      <x:c r="K28" s="8"/>
      <x:c r="L28" s="8"/>
      <x:c r="M28" s="8"/>
      <x:c r="N28" s="8"/>
      <x:c r="O28" s="8"/>
      <x:c r="P28" s="8"/>
      <x:c r="Q28" s="8"/>
      <x:c r="R28" s="8"/>
    </x:row>
    <x:row r="29" ht="23" customHeight="1">
      <x:c r="A29" s="8" t="str">
        <x:v>node_23</x:v>
      </x:c>
      <x:c r="B29" s="8" t="n">
        <x:f>I28</x:f>
        <x:v>920</x:v>
      </x:c>
      <x:c r="C29" s="12" t="n">
        <x:v>0</x:v>
      </x:c>
      <x:c r="D29" s="12" t="n">
        <x:v>0</x:v>
      </x:c>
      <x:c r="E29" s="8" t="n">
        <x:f>B29+C29-D29</x:f>
        <x:v>920</x:v>
      </x:c>
      <x:c r="F29" s="8" t="n">
        <x:f>SUMIFS('원본_Reward'!$G$2:$G$214,'원본_Reward'!$B$2:$B$214,"Adventure",'원본_Reward'!$C$2:$C$214,A29,'원본_Reward'!$E$2:$E$214,"Currency",'원본_Reward'!$F$2:$F$214,"Shard")</x:f>
        <x:v>70</x:v>
      </x:c>
      <x:c r="G29" s="8" t="n">
        <x:f>'입력'!$B$23+SUM($C$7:C29)+SUM($F$7:F29)</x:f>
        <x:v>990</x:v>
      </x:c>
      <x:c r="H29" s="8" t="n">
        <x:f>SUM($D$7:D29)</x:f>
        <x:v>0</x:v>
      </x:c>
      <x:c r="I29" s="8" t="n">
        <x:f>E29+F29</x:f>
        <x:v>990</x:v>
      </x:c>
      <x:c r="J29" s="8"/>
      <x:c r="K29" s="8"/>
      <x:c r="L29" s="8"/>
      <x:c r="M29" s="8"/>
      <x:c r="N29" s="8"/>
      <x:c r="O29" s="8"/>
      <x:c r="P29" s="8"/>
      <x:c r="Q29" s="8"/>
      <x:c r="R29" s="8"/>
    </x:row>
    <x:row r="30" ht="23" customHeight="1">
      <x:c r="A30" s="8" t="str">
        <x:v>node_24</x:v>
      </x:c>
      <x:c r="B30" s="8" t="n">
        <x:f>I29</x:f>
        <x:v>990</x:v>
      </x:c>
      <x:c r="C30" s="12" t="n">
        <x:v>0</x:v>
      </x:c>
      <x:c r="D30" s="12" t="n">
        <x:v>0</x:v>
      </x:c>
      <x:c r="E30" s="8" t="n">
        <x:f>B30+C30-D30</x:f>
        <x:v>990</x:v>
      </x:c>
      <x:c r="F30" s="8" t="n">
        <x:f>SUMIFS('원본_Reward'!$G$2:$G$214,'원본_Reward'!$B$2:$B$214,"Adventure",'원본_Reward'!$C$2:$C$214,A30,'원본_Reward'!$E$2:$E$214,"Currency",'원본_Reward'!$F$2:$F$214,"Shard")</x:f>
        <x:v>60</x:v>
      </x:c>
      <x:c r="G30" s="8" t="n">
        <x:f>'입력'!$B$23+SUM($C$7:C30)+SUM($F$7:F30)</x:f>
        <x:v>1050</x:v>
      </x:c>
      <x:c r="H30" s="8" t="n">
        <x:f>SUM($D$7:D30)</x:f>
        <x:v>0</x:v>
      </x:c>
      <x:c r="I30" s="8" t="n">
        <x:f>E30+F30</x:f>
        <x:v>1050</x:v>
      </x:c>
      <x:c r="J30" s="8"/>
      <x:c r="K30" s="8"/>
      <x:c r="L30" s="8"/>
      <x:c r="M30" s="8"/>
      <x:c r="N30" s="8"/>
      <x:c r="O30" s="8"/>
      <x:c r="P30" s="8"/>
      <x:c r="Q30" s="8"/>
      <x:c r="R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 t="str">
        <x:v>강화 기준</x:v>
      </x:c>
      <x:c r="B34" s="8" t="str">
        <x:v>조각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23" customHeight="1">
      <x:c r="A35" s="8" t="str">
        <x:v>1장 Lv1 → Lv2</x:v>
      </x:c>
      <x:c r="B35" s="8" t="n">
        <x:f>'원본_CardEnhance'!D2</x:f>
        <x:v>10</x:v>
      </x:c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</x:row>
    <x:row r="36" ht="23" customHeight="1">
      <x:c r="A36" s="8" t="str">
        <x:v>1장 Lv1 → Lv3</x:v>
      </x:c>
      <x:c r="B36" s="8" t="n">
        <x:f>SUM('원본_CardEnhance'!D2:D3)</x:f>
        <x:v>30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</x:row>
    <x:row r="37" ht="23" customHeight="1">
      <x:c r="A37" s="8" t="str">
        <x:v>1장 Lv1 → Lv4</x:v>
      </x:c>
      <x:c r="B37" s="8" t="n">
        <x:f>SUM('원본_CardEnhance'!D2:D4)</x:f>
        <x:v>180</x:v>
      </x:c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</x:row>
    <x:row r="38" ht="23" customHeight="1">
      <x:c r="A38" s="8" t="str">
        <x:v>6장 Lv1 → Lv4</x:v>
      </x:c>
      <x:c r="B38" s="8" t="n">
        <x:f>6*B37</x:f>
        <x:v>1080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 t="str">
        <x:v>챕터·가이드·일일·팩 중복 수입은 수령 시점에 C열로 입력합니다.</x:v>
      </x:c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 t="str">
        <x:v>기본값 0은 해당 재원이 없다는 뜻이 아니라 아직 계획하지 않았다는 뜻입니다.</x:v>
      </x:c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conditionalFormatting sqref="E7:E30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764a02bdfda40c5"/>
</x:worksheet>
</file>

<file path=xl/worksheets/sheet6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계정과 패스 성장 속도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전투·미션 달성률은 입력 탭을 참조합니다. 미션을 일평균으로 환산한 추정이며 실제 수령 날짜와 다를 수 있습니다.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23" customHeight="1">
      <x:c r="A6" s="8" t="str">
        <x:v>일평균 계정 EXP</x:v>
      </x:c>
      <x:c r="B6" s="8" t="n">
        <x:f>'입력'!B20*('입력'!B19*'원본_AccountLevel'!C2+(1-'입력'!B19)*'원본_AccountLevel'!D2)+SUMIFS('원본_Mission'!$M$2:$M$36,'원본_Mission'!$D$2:$D$36,"daily",'원본_Mission'!$C$2:$C$36,1)*'입력'!B21+SUMIFS('원본_Mission'!$M$2:$M$36,'원본_Mission'!$D$2:$D$36,"weekly",'원본_Mission'!$C$2:$C$36,1)*'입력'!B22/7</x:f>
        <x:v>1271.4285714285713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</x:row>
    <x:row r="7" ht="23" customHeight="1">
      <x:c r="A7" s="8" t="str">
        <x:v>일평균 패스 EXP</x:v>
      </x:c>
      <x:c r="B7" s="8" t="n">
        <x:f>SUMIFS('원본_Mission'!$I$2:$I$36,'원본_Mission'!$D$2:$D$36,"daily",'원본_Mission'!$C$2:$C$36,1)*'입력'!B21+SUMIFS('원본_Mission'!$I$2:$I$36,'원본_Mission'!$D$2:$D$36,"weekly",'원본_Mission'!$C$2:$C$36,1)*'입력'!B22/7</x:f>
        <x:v>122.85714285714286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</x:row>
    <x:row r="10" ht="30" customHeight="1">
      <x:c r="A10" s="4" t="str">
        <x:v>계정 레벨</x:v>
      </x:c>
      <x:c r="B10" s="4" t="str">
        <x:v>누적 EXP</x:v>
      </x:c>
      <x:c r="C10" s="4" t="str">
        <x:v>이전 Lv 대비</x:v>
      </x:c>
      <x:c r="D10" s="4" t="str">
        <x:v>예상 누적 일수</x:v>
      </x:c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n">
        <x:f>'원본_AccountLevel'!A2</x:f>
        <x:v>1</x:v>
      </x:c>
      <x:c r="B11" s="8" t="n">
        <x:f>'원본_AccountLevel'!B2</x:f>
        <x:v>0</x:v>
      </x:c>
      <x:c r="C11" s="8" t="n">
        <x:f>B11</x:f>
        <x:v>0</x:v>
      </x:c>
      <x:c r="D11" s="16" t="n">
        <x:f>IF($B$6&gt;0,B11/$B$6,NA())</x:f>
        <x:v>0</x:v>
      </x:c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n">
        <x:f>'원본_AccountLevel'!A3</x:f>
        <x:v>2</x:v>
      </x:c>
      <x:c r="B12" s="8" t="n">
        <x:f>'원본_AccountLevel'!B3</x:f>
        <x:v>300</x:v>
      </x:c>
      <x:c r="C12" s="8" t="n">
        <x:f>B12-B11</x:f>
        <x:v>300</x:v>
      </x:c>
      <x:c r="D12" s="16" t="n">
        <x:f>IF($B$6&gt;0,B12/$B$6,NA())</x:f>
        <x:v>0.2359550561797753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n">
        <x:f>'원본_AccountLevel'!A4</x:f>
        <x:v>3</x:v>
      </x:c>
      <x:c r="B13" s="8" t="n">
        <x:f>'원본_AccountLevel'!B4</x:f>
        <x:v>700</x:v>
      </x:c>
      <x:c r="C13" s="8" t="n">
        <x:f>B13-B12</x:f>
        <x:v>400</x:v>
      </x:c>
      <x:c r="D13" s="16" t="n">
        <x:f>IF($B$6&gt;0,B13/$B$6,NA())</x:f>
        <x:v>0.550561797752809</x:v>
      </x:c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 t="n">
        <x:f>'원본_AccountLevel'!A5</x:f>
        <x:v>4</x:v>
      </x:c>
      <x:c r="B14" s="8" t="n">
        <x:f>'원본_AccountLevel'!B5</x:f>
        <x:v>1200</x:v>
      </x:c>
      <x:c r="C14" s="8" t="n">
        <x:f>B14-B13</x:f>
        <x:v>500</x:v>
      </x:c>
      <x:c r="D14" s="16" t="n">
        <x:f>IF($B$6&gt;0,B14/$B$6,NA())</x:f>
        <x:v>0.9438202247191012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 t="n">
        <x:f>'원본_AccountLevel'!A6</x:f>
        <x:v>5</x:v>
      </x:c>
      <x:c r="B15" s="8" t="n">
        <x:f>'원본_AccountLevel'!B6</x:f>
        <x:v>1800</x:v>
      </x:c>
      <x:c r="C15" s="8" t="n">
        <x:f>B15-B14</x:f>
        <x:v>600</x:v>
      </x:c>
      <x:c r="D15" s="16" t="n">
        <x:f>IF($B$6&gt;0,B15/$B$6,NA())</x:f>
        <x:v>1.4157303370786518</x:v>
      </x:c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 t="n">
        <x:f>'원본_AccountLevel'!A7</x:f>
        <x:v>6</x:v>
      </x:c>
      <x:c r="B16" s="8" t="n">
        <x:f>'원본_AccountLevel'!B7</x:f>
        <x:v>2500</x:v>
      </x:c>
      <x:c r="C16" s="8" t="n">
        <x:f>B16-B15</x:f>
        <x:v>700</x:v>
      </x:c>
      <x:c r="D16" s="16" t="n">
        <x:f>IF($B$6&gt;0,B16/$B$6,NA())</x:f>
        <x:v>1.9662921348314608</x:v>
      </x:c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 t="n">
        <x:f>'원본_AccountLevel'!A8</x:f>
        <x:v>7</x:v>
      </x:c>
      <x:c r="B17" s="8" t="n">
        <x:f>'원본_AccountLevel'!B8</x:f>
        <x:v>3300</x:v>
      </x:c>
      <x:c r="C17" s="8" t="n">
        <x:f>B17-B16</x:f>
        <x:v>800</x:v>
      </x:c>
      <x:c r="D17" s="16" t="n">
        <x:f>IF($B$6&gt;0,B17/$B$6,NA())</x:f>
        <x:v>2.5955056179775284</x:v>
      </x:c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23" customHeight="1">
      <x:c r="A18" s="8" t="n">
        <x:f>'원본_AccountLevel'!A9</x:f>
        <x:v>8</x:v>
      </x:c>
      <x:c r="B18" s="8" t="n">
        <x:f>'원본_AccountLevel'!B9</x:f>
        <x:v>4200</x:v>
      </x:c>
      <x:c r="C18" s="8" t="n">
        <x:f>B18-B17</x:f>
        <x:v>900</x:v>
      </x:c>
      <x:c r="D18" s="16" t="n">
        <x:f>IF($B$6&gt;0,B18/$B$6,NA())</x:f>
        <x:v>3.303370786516854</x:v>
      </x:c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n">
        <x:f>'원본_AccountLevel'!A10</x:f>
        <x:v>9</x:v>
      </x:c>
      <x:c r="B19" s="8" t="n">
        <x:f>'원본_AccountLevel'!B10</x:f>
        <x:v>5200</x:v>
      </x:c>
      <x:c r="C19" s="8" t="n">
        <x:f>B19-B18</x:f>
        <x:v>1000</x:v>
      </x:c>
      <x:c r="D19" s="16" t="n">
        <x:f>IF($B$6&gt;0,B19/$B$6,NA())</x:f>
        <x:v>4.089887640449438</x:v>
      </x:c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 t="n">
        <x:f>'원본_AccountLevel'!A11</x:f>
        <x:v>10</x:v>
      </x:c>
      <x:c r="B20" s="8" t="n">
        <x:f>'원본_AccountLevel'!B11</x:f>
        <x:v>6300</x:v>
      </x:c>
      <x:c r="C20" s="8" t="n">
        <x:f>B20-B19</x:f>
        <x:v>1100</x:v>
      </x:c>
      <x:c r="D20" s="16" t="n">
        <x:f>IF($B$6&gt;0,B20/$B$6,NA())</x:f>
        <x:v>4.955056179775282</x:v>
      </x:c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 t="n">
        <x:f>'원본_AccountLevel'!A12</x:f>
        <x:v>11</x:v>
      </x:c>
      <x:c r="B21" s="8" t="n">
        <x:f>'원본_AccountLevel'!B12</x:f>
        <x:v>7500</x:v>
      </x:c>
      <x:c r="C21" s="8" t="n">
        <x:f>B21-B20</x:f>
        <x:v>1200</x:v>
      </x:c>
      <x:c r="D21" s="16" t="n">
        <x:f>IF($B$6&gt;0,B21/$B$6,NA())</x:f>
        <x:v>5.898876404494382</x:v>
      </x:c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 t="n">
        <x:f>'원본_AccountLevel'!A13</x:f>
        <x:v>12</x:v>
      </x:c>
      <x:c r="B22" s="8" t="n">
        <x:f>'원본_AccountLevel'!B13</x:f>
        <x:v>8800</x:v>
      </x:c>
      <x:c r="C22" s="8" t="n">
        <x:f>B22-B21</x:f>
        <x:v>1300</x:v>
      </x:c>
      <x:c r="D22" s="16" t="n">
        <x:f>IF($B$6&gt;0,B22/$B$6,NA())</x:f>
        <x:v>6.9213483146067425</x:v>
      </x:c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23" customHeight="1">
      <x:c r="A23" s="8" t="n">
        <x:f>'원본_AccountLevel'!A14</x:f>
        <x:v>13</x:v>
      </x:c>
      <x:c r="B23" s="8" t="n">
        <x:f>'원본_AccountLevel'!B14</x:f>
        <x:v>10200</x:v>
      </x:c>
      <x:c r="C23" s="8" t="n">
        <x:f>B23-B22</x:f>
        <x:v>1400</x:v>
      </x:c>
      <x:c r="D23" s="16" t="n">
        <x:f>IF($B$6&gt;0,B23/$B$6,NA())</x:f>
        <x:v>8.02247191011236</x:v>
      </x:c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 t="n">
        <x:f>'원본_AccountLevel'!A15</x:f>
        <x:v>14</x:v>
      </x:c>
      <x:c r="B24" s="8" t="n">
        <x:f>'원본_AccountLevel'!B15</x:f>
        <x:v>11700</x:v>
      </x:c>
      <x:c r="C24" s="8" t="n">
        <x:f>B24-B23</x:f>
        <x:v>1500</x:v>
      </x:c>
      <x:c r="D24" s="16" t="n">
        <x:f>IF($B$6&gt;0,B24/$B$6,NA())</x:f>
        <x:v>9.202247191011237</x:v>
      </x:c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 t="n">
        <x:f>'원본_AccountLevel'!A16</x:f>
        <x:v>15</x:v>
      </x:c>
      <x:c r="B25" s="8" t="n">
        <x:f>'원본_AccountLevel'!B16</x:f>
        <x:v>13300</x:v>
      </x:c>
      <x:c r="C25" s="8" t="n">
        <x:f>B25-B24</x:f>
        <x:v>1600</x:v>
      </x:c>
      <x:c r="D25" s="16" t="n">
        <x:f>IF($B$6&gt;0,B25/$B$6,NA())</x:f>
        <x:v>10.460674157303371</x:v>
      </x:c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 t="n">
        <x:f>'원본_AccountLevel'!A17</x:f>
        <x:v>16</x:v>
      </x:c>
      <x:c r="B26" s="8" t="n">
        <x:f>'원본_AccountLevel'!B17</x:f>
        <x:v>15000</x:v>
      </x:c>
      <x:c r="C26" s="8" t="n">
        <x:f>B26-B25</x:f>
        <x:v>1700</x:v>
      </x:c>
      <x:c r="D26" s="16" t="n">
        <x:f>IF($B$6&gt;0,B26/$B$6,NA())</x:f>
        <x:v>11.797752808988765</x:v>
      </x:c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23" customHeight="1">
      <x:c r="A27" s="8" t="n">
        <x:f>'원본_AccountLevel'!A18</x:f>
        <x:v>17</x:v>
      </x:c>
      <x:c r="B27" s="8" t="n">
        <x:f>'원본_AccountLevel'!B18</x:f>
        <x:v>16800</x:v>
      </x:c>
      <x:c r="C27" s="8" t="n">
        <x:f>B27-B26</x:f>
        <x:v>1800</x:v>
      </x:c>
      <x:c r="D27" s="16" t="n">
        <x:f>IF($B$6&gt;0,B27/$B$6,NA())</x:f>
        <x:v>13.213483146067416</x:v>
      </x:c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</x:row>
    <x:row r="28" ht="23" customHeight="1">
      <x:c r="A28" s="8" t="n">
        <x:f>'원본_AccountLevel'!A19</x:f>
        <x:v>18</x:v>
      </x:c>
      <x:c r="B28" s="8" t="n">
        <x:f>'원본_AccountLevel'!B19</x:f>
        <x:v>18700</x:v>
      </x:c>
      <x:c r="C28" s="8" t="n">
        <x:f>B28-B27</x:f>
        <x:v>1900</x:v>
      </x:c>
      <x:c r="D28" s="16" t="n">
        <x:f>IF($B$6&gt;0,B28/$B$6,NA())</x:f>
        <x:v>14.707865168539326</x:v>
      </x:c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</x:row>
    <x:row r="29" ht="23" customHeight="1">
      <x:c r="A29" s="8" t="n">
        <x:f>'원본_AccountLevel'!A20</x:f>
        <x:v>19</x:v>
      </x:c>
      <x:c r="B29" s="8" t="n">
        <x:f>'원본_AccountLevel'!B20</x:f>
        <x:v>20700</x:v>
      </x:c>
      <x:c r="C29" s="8" t="n">
        <x:f>B29-B28</x:f>
        <x:v>2000</x:v>
      </x:c>
      <x:c r="D29" s="16" t="n">
        <x:f>IF($B$6&gt;0,B29/$B$6,NA())</x:f>
        <x:v>16.280898876404496</x:v>
      </x:c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</x:row>
    <x:row r="30" ht="23" customHeight="1">
      <x:c r="A30" s="8" t="n">
        <x:f>'원본_AccountLevel'!A21</x:f>
        <x:v>20</x:v>
      </x:c>
      <x:c r="B30" s="8" t="n">
        <x:f>'원본_AccountLevel'!B21</x:f>
        <x:v>22800</x:v>
      </x:c>
      <x:c r="C30" s="8" t="n">
        <x:f>B30-B29</x:f>
        <x:v>2100</x:v>
      </x:c>
      <x:c r="D30" s="16" t="n">
        <x:f>IF($B$6&gt;0,B30/$B$6,NA())</x:f>
        <x:v>17.93258426966292</x:v>
      </x:c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</x:row>
    <x:row r="31" ht="23" customHeight="1">
      <x:c r="A31" s="8" t="n">
        <x:f>'원본_AccountLevel'!A22</x:f>
        <x:v>21</x:v>
      </x:c>
      <x:c r="B31" s="8" t="n">
        <x:f>'원본_AccountLevel'!B22</x:f>
        <x:v>25000</x:v>
      </x:c>
      <x:c r="C31" s="8" t="n">
        <x:f>B31-B30</x:f>
        <x:v>2200</x:v>
      </x:c>
      <x:c r="D31" s="16" t="n">
        <x:f>IF($B$6&gt;0,B31/$B$6,NA())</x:f>
        <x:v>19.662921348314608</x:v>
      </x:c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</x:row>
    <x:row r="32" ht="30" customHeight="1">
      <x:c r="A32" s="8" t="n">
        <x:f>'원본_AccountLevel'!A23</x:f>
        <x:v>22</x:v>
      </x:c>
      <x:c r="B32" s="8" t="n">
        <x:f>'원본_AccountLevel'!B23</x:f>
        <x:v>27300</x:v>
      </x:c>
      <x:c r="C32" s="8" t="n">
        <x:f>B32-B31</x:f>
        <x:v>2300</x:v>
      </x:c>
      <x:c r="D32" s="16" t="n">
        <x:f>IF($B$6&gt;0,B32/$B$6,NA())</x:f>
        <x:v>21.471910112359552</x:v>
      </x:c>
      <x:c r="E32" s="8"/>
      <x:c r="F32" s="4" t="str">
        <x:v>패스 레벨</x:v>
      </x:c>
      <x:c r="G32" s="4" t="str">
        <x:v>누적 EXP</x:v>
      </x:c>
      <x:c r="H32" s="4" t="str">
        <x:v>예상 누적 일수</x:v>
      </x:c>
      <x:c r="I32" s="8"/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 t="n">
        <x:f>'원본_AccountLevel'!A24</x:f>
        <x:v>23</x:v>
      </x:c>
      <x:c r="B33" s="8" t="n">
        <x:f>'원본_AccountLevel'!B24</x:f>
        <x:v>29700</x:v>
      </x:c>
      <x:c r="C33" s="8" t="n">
        <x:f>B33-B32</x:f>
        <x:v>2400</x:v>
      </x:c>
      <x:c r="D33" s="16" t="n">
        <x:f>IF($B$6&gt;0,B33/$B$6,NA())</x:f>
        <x:v>23.359550561797754</x:v>
      </x:c>
      <x:c r="E33" s="8"/>
      <x:c r="F33" s="8" t="n">
        <x:f>'원본_PassLevel'!C2</x:f>
        <x:v>1</x:v>
      </x:c>
      <x:c r="G33" s="8" t="n">
        <x:f>'원본_PassLevel'!D2</x:f>
        <x:v>100</x:v>
      </x:c>
      <x:c r="H33" s="16" t="n">
        <x:f>IF($B$7&gt;0,G33/$B$7,NA())</x:f>
        <x:v>0.813953488372093</x:v>
      </x:c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 t="n">
        <x:f>'원본_AccountLevel'!A25</x:f>
        <x:v>24</x:v>
      </x:c>
      <x:c r="B34" s="8" t="n">
        <x:f>'원본_AccountLevel'!B25</x:f>
        <x:v>32200</x:v>
      </x:c>
      <x:c r="C34" s="8" t="n">
        <x:f>B34-B33</x:f>
        <x:v>2500</x:v>
      </x:c>
      <x:c r="D34" s="16" t="n">
        <x:f>IF($B$6&gt;0,B34/$B$6,NA())</x:f>
        <x:v>25.325842696629216</x:v>
      </x:c>
      <x:c r="E34" s="8"/>
      <x:c r="F34" s="8" t="n">
        <x:f>'원본_PassLevel'!C3</x:f>
        <x:v>2</x:v>
      </x:c>
      <x:c r="G34" s="8" t="n">
        <x:f>'원본_PassLevel'!D3</x:f>
        <x:v>250</x:v>
      </x:c>
      <x:c r="H34" s="16" t="n">
        <x:f>IF($B$7&gt;0,G34/$B$7,NA())</x:f>
        <x:v>2.0348837209302326</x:v>
      </x:c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23" customHeight="1">
      <x:c r="A35" s="8" t="n">
        <x:f>'원본_AccountLevel'!A26</x:f>
        <x:v>25</x:v>
      </x:c>
      <x:c r="B35" s="8" t="n">
        <x:f>'원본_AccountLevel'!B26</x:f>
        <x:v>34800</x:v>
      </x:c>
      <x:c r="C35" s="8" t="n">
        <x:f>B35-B34</x:f>
        <x:v>2600</x:v>
      </x:c>
      <x:c r="D35" s="16" t="n">
        <x:f>IF($B$6&gt;0,B35/$B$6,NA())</x:f>
        <x:v>27.370786516853936</x:v>
      </x:c>
      <x:c r="E35" s="8"/>
      <x:c r="F35" s="8" t="n">
        <x:f>'원본_PassLevel'!C4</x:f>
        <x:v>3</x:v>
      </x:c>
      <x:c r="G35" s="8" t="n">
        <x:f>'원본_PassLevel'!D4</x:f>
        <x:v>450</x:v>
      </x:c>
      <x:c r="H35" s="16" t="n">
        <x:f>IF($B$7&gt;0,G35/$B$7,NA())</x:f>
        <x:v>3.6627906976744184</x:v>
      </x:c>
      <x:c r="I35" s="8"/>
      <x:c r="J35" s="8"/>
      <x:c r="K35" s="8"/>
      <x:c r="L35" s="8"/>
      <x:c r="M35" s="8"/>
      <x:c r="N35" s="8"/>
      <x:c r="O35" s="8"/>
      <x:c r="P35" s="8"/>
      <x:c r="Q35" s="8"/>
      <x:c r="R35" s="8"/>
    </x:row>
    <x:row r="36" ht="23" customHeight="1">
      <x:c r="A36" s="8" t="n">
        <x:f>'원본_AccountLevel'!A27</x:f>
        <x:v>26</x:v>
      </x:c>
      <x:c r="B36" s="8" t="n">
        <x:f>'원본_AccountLevel'!B27</x:f>
        <x:v>37500</x:v>
      </x:c>
      <x:c r="C36" s="8" t="n">
        <x:f>B36-B35</x:f>
        <x:v>2700</x:v>
      </x:c>
      <x:c r="D36" s="16" t="n">
        <x:f>IF($B$6&gt;0,B36/$B$6,NA())</x:f>
        <x:v>29.494382022471914</x:v>
      </x:c>
      <x:c r="E36" s="8"/>
      <x:c r="F36" s="8" t="n">
        <x:f>'원본_PassLevel'!C5</x:f>
        <x:v>4</x:v>
      </x:c>
      <x:c r="G36" s="8" t="n">
        <x:f>'원본_PassLevel'!D5</x:f>
        <x:v>700</x:v>
      </x:c>
      <x:c r="H36" s="16" t="n">
        <x:f>IF($B$7&gt;0,G36/$B$7,NA())</x:f>
        <x:v>5.697674418604651</x:v>
      </x:c>
      <x:c r="I36" s="8"/>
      <x:c r="J36" s="8"/>
      <x:c r="K36" s="8"/>
      <x:c r="L36" s="8"/>
      <x:c r="M36" s="8"/>
      <x:c r="N36" s="8"/>
      <x:c r="O36" s="8"/>
      <x:c r="P36" s="8"/>
      <x:c r="Q36" s="8"/>
      <x:c r="R36" s="8"/>
    </x:row>
    <x:row r="37" ht="23" customHeight="1">
      <x:c r="A37" s="8" t="n">
        <x:f>'원본_AccountLevel'!A28</x:f>
        <x:v>27</x:v>
      </x:c>
      <x:c r="B37" s="8" t="n">
        <x:f>'원본_AccountLevel'!B28</x:f>
        <x:v>40300</x:v>
      </x:c>
      <x:c r="C37" s="8" t="n">
        <x:f>B37-B36</x:f>
        <x:v>2800</x:v>
      </x:c>
      <x:c r="D37" s="16" t="n">
        <x:f>IF($B$6&gt;0,B37/$B$6,NA())</x:f>
        <x:v>31.69662921348315</x:v>
      </x:c>
      <x:c r="E37" s="8"/>
      <x:c r="F37" s="8" t="n">
        <x:f>'원본_PassLevel'!C6</x:f>
        <x:v>5</x:v>
      </x:c>
      <x:c r="G37" s="8" t="n">
        <x:f>'원본_PassLevel'!D6</x:f>
        <x:v>1000</x:v>
      </x:c>
      <x:c r="H37" s="16" t="n">
        <x:f>IF($B$7&gt;0,G37/$B$7,NA())</x:f>
        <x:v>8.13953488372093</x:v>
      </x:c>
      <x:c r="I37" s="8"/>
      <x:c r="J37" s="8"/>
      <x:c r="K37" s="8"/>
      <x:c r="L37" s="8"/>
      <x:c r="M37" s="8"/>
      <x:c r="N37" s="8"/>
      <x:c r="O37" s="8"/>
      <x:c r="P37" s="8"/>
      <x:c r="Q37" s="8"/>
      <x:c r="R37" s="8"/>
    </x:row>
    <x:row r="38" ht="23" customHeight="1">
      <x:c r="A38" s="8" t="n">
        <x:f>'원본_AccountLevel'!A29</x:f>
        <x:v>28</x:v>
      </x:c>
      <x:c r="B38" s="8" t="n">
        <x:f>'원본_AccountLevel'!B29</x:f>
        <x:v>43200</x:v>
      </x:c>
      <x:c r="C38" s="8" t="n">
        <x:f>B38-B37</x:f>
        <x:v>2900</x:v>
      </x:c>
      <x:c r="D38" s="16" t="n">
        <x:f>IF($B$6&gt;0,B38/$B$6,NA())</x:f>
        <x:v>33.97752808988764</x:v>
      </x:c>
      <x:c r="E38" s="8"/>
      <x:c r="F38" s="8" t="n">
        <x:f>'원본_PassLevel'!C7</x:f>
        <x:v>6</x:v>
      </x:c>
      <x:c r="G38" s="8" t="n">
        <x:f>'원본_PassLevel'!D7</x:f>
        <x:v>1300</x:v>
      </x:c>
      <x:c r="H38" s="16" t="n">
        <x:f>IF($B$7&gt;0,G38/$B$7,NA())</x:f>
        <x:v>10.581395348837209</x:v>
      </x:c>
      <x:c r="I38" s="8"/>
      <x:c r="J38" s="8"/>
      <x:c r="K38" s="8"/>
      <x:c r="L38" s="8"/>
      <x:c r="M38" s="8"/>
      <x:c r="N38" s="8"/>
      <x:c r="O38" s="8"/>
      <x:c r="P38" s="8"/>
      <x:c r="Q38" s="8"/>
      <x:c r="R38" s="8"/>
    </x:row>
    <x:row r="39" ht="23" customHeight="1">
      <x:c r="A39" s="8" t="n">
        <x:f>'원본_AccountLevel'!A30</x:f>
        <x:v>29</x:v>
      </x:c>
      <x:c r="B39" s="8" t="n">
        <x:f>'원본_AccountLevel'!B30</x:f>
        <x:v>46200</x:v>
      </x:c>
      <x:c r="C39" s="8" t="n">
        <x:f>B39-B38</x:f>
        <x:v>3000</x:v>
      </x:c>
      <x:c r="D39" s="16" t="n">
        <x:f>IF($B$6&gt;0,B39/$B$6,NA())</x:f>
        <x:v>36.337078651685395</x:v>
      </x:c>
      <x:c r="E39" s="8"/>
      <x:c r="F39" s="8" t="n">
        <x:f>'원본_PassLevel'!C8</x:f>
        <x:v>7</x:v>
      </x:c>
      <x:c r="G39" s="8" t="n">
        <x:f>'원본_PassLevel'!D8</x:f>
        <x:v>1650</x:v>
      </x:c>
      <x:c r="H39" s="16" t="n">
        <x:f>IF($B$7&gt;0,G39/$B$7,NA())</x:f>
        <x:v>13.430232558139535</x:v>
      </x:c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 t="n">
        <x:f>'원본_AccountLevel'!A31</x:f>
        <x:v>30</x:v>
      </x:c>
      <x:c r="B40" s="8" t="n">
        <x:f>'원본_AccountLevel'!B31</x:f>
        <x:v>49300</x:v>
      </x:c>
      <x:c r="C40" s="8" t="n">
        <x:f>B40-B39</x:f>
        <x:v>3100</x:v>
      </x:c>
      <x:c r="D40" s="16" t="n">
        <x:f>IF($B$6&gt;0,B40/$B$6,NA())</x:f>
        <x:v>38.77528089887641</x:v>
      </x:c>
      <x:c r="E40" s="8"/>
      <x:c r="F40" s="8" t="n">
        <x:f>'원본_PassLevel'!C9</x:f>
        <x:v>8</x:v>
      </x:c>
      <x:c r="G40" s="8" t="n">
        <x:f>'원본_PassLevel'!D9</x:f>
        <x:v>2050</x:v>
      </x:c>
      <x:c r="H40" s="16" t="n">
        <x:f>IF($B$7&gt;0,G40/$B$7,NA())</x:f>
        <x:v>16.686046511627907</x:v>
      </x:c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 t="n">
        <x:f>'원본_AccountLevel'!A32</x:f>
        <x:v>31</x:v>
      </x:c>
      <x:c r="B41" s="8" t="n">
        <x:f>'원본_AccountLevel'!B32</x:f>
        <x:v>52500</x:v>
      </x:c>
      <x:c r="C41" s="8" t="n">
        <x:f>B41-B40</x:f>
        <x:v>3200</x:v>
      </x:c>
      <x:c r="D41" s="16" t="n">
        <x:f>IF($B$6&gt;0,B41/$B$6,NA())</x:f>
        <x:v>41.29213483146068</x:v>
      </x:c>
      <x:c r="E41" s="8"/>
      <x:c r="F41" s="8" t="n">
        <x:f>'원본_PassLevel'!C10</x:f>
        <x:v>9</x:v>
      </x:c>
      <x:c r="G41" s="8" t="n">
        <x:f>'원본_PassLevel'!D10</x:f>
        <x:v>2500</x:v>
      </x:c>
      <x:c r="H41" s="16" t="n">
        <x:f>IF($B$7&gt;0,G41/$B$7,NA())</x:f>
        <x:v>20.348837209302324</x:v>
      </x:c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 t="n">
        <x:f>'원본_AccountLevel'!A33</x:f>
        <x:v>32</x:v>
      </x:c>
      <x:c r="B42" s="8" t="n">
        <x:f>'원본_AccountLevel'!B33</x:f>
        <x:v>55800</x:v>
      </x:c>
      <x:c r="C42" s="8" t="n">
        <x:f>B42-B41</x:f>
        <x:v>3300</x:v>
      </x:c>
      <x:c r="D42" s="16" t="n">
        <x:f>IF($B$6&gt;0,B42/$B$6,NA())</x:f>
        <x:v>43.88764044943821</x:v>
      </x:c>
      <x:c r="E42" s="8"/>
      <x:c r="F42" s="8" t="n">
        <x:f>'원본_PassLevel'!C11</x:f>
        <x:v>10</x:v>
      </x:c>
      <x:c r="G42" s="8" t="n">
        <x:f>'원본_PassLevel'!D11</x:f>
        <x:v>3000</x:v>
      </x:c>
      <x:c r="H42" s="16" t="n">
        <x:f>IF($B$7&gt;0,G42/$B$7,NA())</x:f>
        <x:v>24.41860465116279</x:v>
      </x:c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 t="n">
        <x:f>'원본_AccountLevel'!A34</x:f>
        <x:v>33</x:v>
      </x:c>
      <x:c r="B43" s="8" t="n">
        <x:f>'원본_AccountLevel'!B34</x:f>
        <x:v>59200</x:v>
      </x:c>
      <x:c r="C43" s="8" t="n">
        <x:f>B43-B42</x:f>
        <x:v>3400</x:v>
      </x:c>
      <x:c r="D43" s="16" t="n">
        <x:f>IF($B$6&gt;0,B43/$B$6,NA())</x:f>
        <x:v>46.56179775280899</x:v>
      </x:c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 t="n">
        <x:f>'원본_AccountLevel'!A35</x:f>
        <x:v>34</x:v>
      </x:c>
      <x:c r="B44" s="8" t="n">
        <x:f>'원본_AccountLevel'!B35</x:f>
        <x:v>62700</x:v>
      </x:c>
      <x:c r="C44" s="8" t="n">
        <x:f>B44-B43</x:f>
        <x:v>3500</x:v>
      </x:c>
      <x:c r="D44" s="16" t="n">
        <x:f>IF($B$6&gt;0,B44/$B$6,NA())</x:f>
        <x:v>49.31460674157304</x:v>
      </x:c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 t="n">
        <x:f>'원본_AccountLevel'!A36</x:f>
        <x:v>35</x:v>
      </x:c>
      <x:c r="B45" s="8" t="n">
        <x:f>'원본_AccountLevel'!B36</x:f>
        <x:v>66300</x:v>
      </x:c>
      <x:c r="C45" s="8" t="n">
        <x:f>B45-B44</x:f>
        <x:v>3600</x:v>
      </x:c>
      <x:c r="D45" s="16" t="n">
        <x:f>IF($B$6&gt;0,B45/$B$6,NA())</x:f>
        <x:v>52.14606741573034</x:v>
      </x:c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 t="n">
        <x:f>'원본_AccountLevel'!A37</x:f>
        <x:v>36</x:v>
      </x:c>
      <x:c r="B46" s="8" t="n">
        <x:f>'원본_AccountLevel'!B37</x:f>
        <x:v>70000</x:v>
      </x:c>
      <x:c r="C46" s="8" t="n">
        <x:f>B46-B45</x:f>
        <x:v>3700</x:v>
      </x:c>
      <x:c r="D46" s="16" t="n">
        <x:f>IF($B$6&gt;0,B46/$B$6,NA())</x:f>
        <x:v>55.0561797752809</x:v>
      </x:c>
      <x:c r="E46" s="8"/>
      <x:c r="F46" s="8" t="str">
        <x:v>가이드 EXP·출석·이벤트 EXP는 추정에서 제외했습니다.</x:v>
      </x:c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 t="n">
        <x:f>'원본_AccountLevel'!A38</x:f>
        <x:v>37</x:v>
      </x:c>
      <x:c r="B47" s="8" t="n">
        <x:f>'원본_AccountLevel'!B38</x:f>
        <x:v>73800</x:v>
      </x:c>
      <x:c r="C47" s="8" t="n">
        <x:f>B47-B46</x:f>
        <x:v>3800</x:v>
      </x:c>
      <x:c r="D47" s="16" t="n">
        <x:f>IF($B$6&gt;0,B47/$B$6,NA())</x:f>
        <x:v>58.044943820224724</x:v>
      </x:c>
      <x:c r="E47" s="8"/>
      <x:c r="F47" s="8" t="str">
        <x:v>수입이 0이면 도달 일수는 #N/A로 표시됩니다.</x:v>
      </x:c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 t="n">
        <x:f>'원본_AccountLevel'!A39</x:f>
        <x:v>38</x:v>
      </x:c>
      <x:c r="B48" s="8" t="n">
        <x:f>'원본_AccountLevel'!B39</x:f>
        <x:v>77700</x:v>
      </x:c>
      <x:c r="C48" s="8" t="n">
        <x:f>B48-B47</x:f>
        <x:v>3900</x:v>
      </x:c>
      <x:c r="D48" s="16" t="n">
        <x:f>IF($B$6&gt;0,B48/$B$6,NA())</x:f>
        <x:v>61.112359550561806</x:v>
      </x:c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 t="n">
        <x:f>'원본_AccountLevel'!A40</x:f>
        <x:v>39</x:v>
      </x:c>
      <x:c r="B49" s="8" t="n">
        <x:f>'원본_AccountLevel'!B40</x:f>
        <x:v>81700</x:v>
      </x:c>
      <x:c r="C49" s="8" t="n">
        <x:f>B49-B48</x:f>
        <x:v>4000</x:v>
      </x:c>
      <x:c r="D49" s="16" t="n">
        <x:f>IF($B$6&gt;0,B49/$B$6,NA())</x:f>
        <x:v>64.25842696629213</x:v>
      </x:c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 t="n">
        <x:f>'원본_AccountLevel'!A41</x:f>
        <x:v>40</x:v>
      </x:c>
      <x:c r="B50" s="8" t="n">
        <x:f>'원본_AccountLevel'!B41</x:f>
        <x:v>85800</x:v>
      </x:c>
      <x:c r="C50" s="8" t="n">
        <x:f>B50-B49</x:f>
        <x:v>4100</x:v>
      </x:c>
      <x:c r="D50" s="16" t="n">
        <x:f>IF($B$6&gt;0,B50/$B$6,NA())</x:f>
        <x:v>67.48314606741573</x:v>
      </x:c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 t="n">
        <x:f>'원본_AccountLevel'!A42</x:f>
        <x:v>41</x:v>
      </x:c>
      <x:c r="B51" s="8" t="n">
        <x:f>'원본_AccountLevel'!B42</x:f>
        <x:v>90000</x:v>
      </x:c>
      <x:c r="C51" s="8" t="n">
        <x:f>B51-B50</x:f>
        <x:v>4200</x:v>
      </x:c>
      <x:c r="D51" s="16" t="n">
        <x:f>IF($B$6&gt;0,B51/$B$6,NA())</x:f>
        <x:v>70.7865168539326</x:v>
      </x:c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 t="n">
        <x:f>'원본_AccountLevel'!A43</x:f>
        <x:v>42</x:v>
      </x:c>
      <x:c r="B52" s="8" t="n">
        <x:f>'원본_AccountLevel'!B43</x:f>
        <x:v>94300</x:v>
      </x:c>
      <x:c r="C52" s="8" t="n">
        <x:f>B52-B51</x:f>
        <x:v>4300</x:v>
      </x:c>
      <x:c r="D52" s="16" t="n">
        <x:f>IF($B$6&gt;0,B52/$B$6,NA())</x:f>
        <x:v>74.1685393258427</x:v>
      </x:c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 t="n">
        <x:f>'원본_AccountLevel'!A44</x:f>
        <x:v>43</x:v>
      </x:c>
      <x:c r="B53" s="8" t="n">
        <x:f>'원본_AccountLevel'!B44</x:f>
        <x:v>98700</x:v>
      </x:c>
      <x:c r="C53" s="8" t="n">
        <x:f>B53-B52</x:f>
        <x:v>4400</x:v>
      </x:c>
      <x:c r="D53" s="16" t="n">
        <x:f>IF($B$6&gt;0,B53/$B$6,NA())</x:f>
        <x:v>77.62921348314607</x:v>
      </x:c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 t="n">
        <x:f>'원본_AccountLevel'!A45</x:f>
        <x:v>44</x:v>
      </x:c>
      <x:c r="B54" s="8" t="n">
        <x:f>'원본_AccountLevel'!B45</x:f>
        <x:v>103200</x:v>
      </x:c>
      <x:c r="C54" s="8" t="n">
        <x:f>B54-B53</x:f>
        <x:v>4500</x:v>
      </x:c>
      <x:c r="D54" s="16" t="n">
        <x:f>IF($B$6&gt;0,B54/$B$6,NA())</x:f>
        <x:v>81.1685393258427</x:v>
      </x:c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 t="n">
        <x:f>'원본_AccountLevel'!A46</x:f>
        <x:v>45</x:v>
      </x:c>
      <x:c r="B55" s="8" t="n">
        <x:f>'원본_AccountLevel'!B46</x:f>
        <x:v>107800</x:v>
      </x:c>
      <x:c r="C55" s="8" t="n">
        <x:f>B55-B54</x:f>
        <x:v>4600</x:v>
      </x:c>
      <x:c r="D55" s="16" t="n">
        <x:f>IF($B$6&gt;0,B55/$B$6,NA())</x:f>
        <x:v>84.7865168539326</x:v>
      </x:c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 t="n">
        <x:f>'원본_AccountLevel'!A47</x:f>
        <x:v>46</x:v>
      </x:c>
      <x:c r="B56" s="8" t="n">
        <x:f>'원본_AccountLevel'!B47</x:f>
        <x:v>112500</x:v>
      </x:c>
      <x:c r="C56" s="8" t="n">
        <x:f>B56-B55</x:f>
        <x:v>4700</x:v>
      </x:c>
      <x:c r="D56" s="16" t="n">
        <x:f>IF($B$6&gt;0,B56/$B$6,NA())</x:f>
        <x:v>88.48314606741573</x:v>
      </x:c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 t="n">
        <x:f>'원본_AccountLevel'!A48</x:f>
        <x:v>47</x:v>
      </x:c>
      <x:c r="B57" s="8" t="n">
        <x:f>'원본_AccountLevel'!B48</x:f>
        <x:v>117300</x:v>
      </x:c>
      <x:c r="C57" s="8" t="n">
        <x:f>B57-B56</x:f>
        <x:v>4800</x:v>
      </x:c>
      <x:c r="D57" s="16" t="n">
        <x:f>IF($B$6&gt;0,B57/$B$6,NA())</x:f>
        <x:v>92.25842696629215</x:v>
      </x:c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 t="n">
        <x:f>'원본_AccountLevel'!A49</x:f>
        <x:v>48</x:v>
      </x:c>
      <x:c r="B58" s="8" t="n">
        <x:f>'원본_AccountLevel'!B49</x:f>
        <x:v>122200</x:v>
      </x:c>
      <x:c r="C58" s="8" t="n">
        <x:f>B58-B57</x:f>
        <x:v>4900</x:v>
      </x:c>
      <x:c r="D58" s="16" t="n">
        <x:f>IF($B$6&gt;0,B58/$B$6,NA())</x:f>
        <x:v>96.1123595505618</x:v>
      </x:c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 t="n">
        <x:f>'원본_AccountLevel'!A50</x:f>
        <x:v>49</x:v>
      </x:c>
      <x:c r="B59" s="8" t="n">
        <x:f>'원본_AccountLevel'!B50</x:f>
        <x:v>127200</x:v>
      </x:c>
      <x:c r="C59" s="8" t="n">
        <x:f>B59-B58</x:f>
        <x:v>5000</x:v>
      </x:c>
      <x:c r="D59" s="16" t="n">
        <x:f>IF($B$6&gt;0,B59/$B$6,NA())</x:f>
        <x:v>100.04494382022473</x:v>
      </x:c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 t="n">
        <x:f>'원본_AccountLevel'!A51</x:f>
        <x:v>50</x:v>
      </x:c>
      <x:c r="B60" s="8" t="n">
        <x:f>'원본_AccountLevel'!B51</x:f>
        <x:v>132300</x:v>
      </x:c>
      <x:c r="C60" s="8" t="n">
        <x:f>B60-B59</x:f>
        <x:v>5100</x:v>
      </x:c>
      <x:c r="D60" s="16" t="n">
        <x:f>IF($B$6&gt;0,B60/$B$6,NA())</x:f>
        <x:v>104.05617977528091</x:v>
      </x:c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pageMargins left="0.7" right="0.7" top="0.75" bottom="0.75" header="0.3" footer="0.3"/>
  <x:drawing xmlns:r="http://schemas.openxmlformats.org/officeDocument/2006/relationships" r:id="R0bf67e43e88a48f6"/>
</x:worksheet>
</file>

<file path=xl/worksheets/sheet7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카드팩 1회 추첨 확률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선택한 packId + minGrade 풀 한 묶음만 계산합니다. 비복원 3장 포함확률·튜토리얼 확정 지급량과는 다릅니다.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23" customHeight="1">
      <x:c r="A6" s="8" t="str">
        <x:v>팩 ID</x:v>
      </x:c>
      <x:c r="B6" s="12" t="str">
        <x:v>NormalPack_TEST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</x:row>
    <x:row r="7" ht="23" customHeight="1">
      <x:c r="A7" s="8" t="str">
        <x:v>풀 minGrade</x:v>
      </x:c>
      <x:c r="B7" s="12" t="str">
        <x:v>Bronze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</x:row>
    <x:row r="10" ht="30" customHeight="1">
      <x:c r="A10" s="4" t="str">
        <x:v>카드 ID</x:v>
      </x:c>
      <x:c r="B10" s="4" t="str">
        <x:v>카드명</x:v>
      </x:c>
      <x:c r="C10" s="4" t="str">
        <x:v>등급</x:v>
      </x:c>
      <x:c r="D10" s="4" t="str">
        <x:v>가중치</x:v>
      </x:c>
      <x:c r="E10" s="4" t="str">
        <x:v>추첨 확률</x:v>
      </x:c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n">
        <x:f>'원본_Card'!A2</x:f>
        <x:v>1</x:v>
      </x:c>
      <x:c r="B11" s="8" t="str">
        <x:f>'원본_Card'!C2</x:f>
        <x:v>포슬램</x:v>
      </x:c>
      <x:c r="C11" s="8" t="str">
        <x:f>'원본_Card'!N2</x:f>
        <x:v>Common</x:v>
      </x:c>
      <x:c r="D11" s="8" t="n">
        <x:f>SUMIFS('원본_CardPackDrop'!$E$2:$E$245,'원본_CardPackDrop'!$B$2:$B$245,$B$6,'원본_CardPackDrop'!$C$2:$C$245,$B$7,'원본_CardPackDrop'!$D$2:$D$245,A11)</x:f>
        <x:v>663</x:v>
      </x:c>
      <x:c r="E11" s="18" t="n">
        <x:f>IF(SUM($D$11:$D$50)&gt;0,D11/SUM($D$11:$D$50),NA())</x:f>
        <x:v>0.0663</x:v>
      </x:c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n">
        <x:f>'원본_Card'!A3</x:f>
        <x:v>2</x:v>
      </x:c>
      <x:c r="B12" s="8" t="str">
        <x:f>'원본_Card'!C3</x:f>
        <x:v>파도리</x:v>
      </x:c>
      <x:c r="C12" s="8" t="str">
        <x:f>'원본_Card'!N3</x:f>
        <x:v>Common</x:v>
      </x:c>
      <x:c r="D12" s="8" t="n">
        <x:f>SUMIFS('원본_CardPackDrop'!$E$2:$E$245,'원본_CardPackDrop'!$B$2:$B$245,$B$6,'원본_CardPackDrop'!$C$2:$C$245,$B$7,'원본_CardPackDrop'!$D$2:$D$245,A12)</x:f>
        <x:v>663</x:v>
      </x:c>
      <x:c r="E12" s="18" t="n">
        <x:f>IF(SUM($D$11:$D$50)&gt;0,D12/SUM($D$11:$D$50),NA())</x:f>
        <x:v>0.0663</x:v>
      </x:c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n">
        <x:f>'원본_Card'!A4</x:f>
        <x:v>3</x:v>
      </x:c>
      <x:c r="B13" s="8" t="str">
        <x:f>'원본_Card'!C4</x:f>
        <x:v>별토리</x:v>
      </x:c>
      <x:c r="C13" s="8" t="str">
        <x:f>'원본_Card'!N4</x:f>
        <x:v>Common</x:v>
      </x:c>
      <x:c r="D13" s="8" t="n">
        <x:f>SUMIFS('원본_CardPackDrop'!$E$2:$E$245,'원본_CardPackDrop'!$B$2:$B$245,$B$6,'원본_CardPackDrop'!$C$2:$C$245,$B$7,'원본_CardPackDrop'!$D$2:$D$245,A13)</x:f>
        <x:v>663</x:v>
      </x:c>
      <x:c r="E13" s="18" t="n">
        <x:f>IF(SUM($D$11:$D$50)&gt;0,D13/SUM($D$11:$D$50),NA())</x:f>
        <x:v>0.0663</x:v>
      </x:c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 t="n">
        <x:f>'원본_Card'!A5</x:f>
        <x:v>4</x:v>
      </x:c>
      <x:c r="B14" s="8" t="str">
        <x:f>'원본_Card'!C5</x:f>
        <x:v>솜구름몽</x:v>
      </x:c>
      <x:c r="C14" s="8" t="str">
        <x:f>'원본_Card'!N5</x:f>
        <x:v>Common</x:v>
      </x:c>
      <x:c r="D14" s="8" t="n">
        <x:f>SUMIFS('원본_CardPackDrop'!$E$2:$E$245,'원본_CardPackDrop'!$B$2:$B$245,$B$6,'원본_CardPackDrop'!$C$2:$C$245,$B$7,'원본_CardPackDrop'!$D$2:$D$245,A14)</x:f>
        <x:v>662</x:v>
      </x:c>
      <x:c r="E14" s="18" t="n">
        <x:f>IF(SUM($D$11:$D$50)&gt;0,D14/SUM($D$11:$D$50),NA())</x:f>
        <x:v>0.0662</x:v>
      </x:c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 t="n">
        <x:f>'원본_Card'!A6</x:f>
        <x:v>5</x:v>
      </x:c>
      <x:c r="B15" s="8" t="str">
        <x:f>'원본_Card'!C6</x:f>
        <x:v>철갑몽치</x:v>
      </x:c>
      <x:c r="C15" s="8" t="str">
        <x:f>'원본_Card'!N6</x:f>
        <x:v>Rare</x:v>
      </x:c>
      <x:c r="D15" s="8" t="n">
        <x:f>SUMIFS('원본_CardPackDrop'!$E$2:$E$245,'원본_CardPackDrop'!$B$2:$B$245,$B$6,'원본_CardPackDrop'!$C$2:$C$245,$B$7,'원본_CardPackDrop'!$D$2:$D$245,A15)</x:f>
        <x:v>400</x:v>
      </x:c>
      <x:c r="E15" s="18" t="n">
        <x:f>IF(SUM($D$11:$D$50)&gt;0,D15/SUM($D$11:$D$50),NA())</x:f>
        <x:v>0.04</x:v>
      </x:c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 t="n">
        <x:f>'원본_Card'!A7</x:f>
        <x:v>6</x:v>
      </x:c>
      <x:c r="B16" s="8" t="str">
        <x:f>'원본_Card'!C7</x:f>
        <x:v>바위콩</x:v>
      </x:c>
      <x:c r="C16" s="8" t="str">
        <x:f>'원본_Card'!N7</x:f>
        <x:v>Rare</x:v>
      </x:c>
      <x:c r="D16" s="8" t="n">
        <x:f>SUMIFS('원본_CardPackDrop'!$E$2:$E$245,'원본_CardPackDrop'!$B$2:$B$245,$B$6,'원본_CardPackDrop'!$C$2:$C$245,$B$7,'원본_CardPackDrop'!$D$2:$D$245,A16)</x:f>
        <x:v>400</x:v>
      </x:c>
      <x:c r="E16" s="18" t="n">
        <x:f>IF(SUM($D$11:$D$50)&gt;0,D16/SUM($D$11:$D$50),NA())</x:f>
        <x:v>0.04</x:v>
      </x:c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 t="n">
        <x:f>'원본_Card'!A8</x:f>
        <x:v>7</x:v>
      </x:c>
      <x:c r="B17" s="8" t="str">
        <x:f>'원본_Card'!C8</x:f>
        <x:v>왕밤도치</x:v>
      </x:c>
      <x:c r="C17" s="8" t="str">
        <x:f>'원본_Card'!N8</x:f>
        <x:v>Rare</x:v>
      </x:c>
      <x:c r="D17" s="8" t="n">
        <x:f>SUMIFS('원본_CardPackDrop'!$E$2:$E$245,'원본_CardPackDrop'!$B$2:$B$245,$B$6,'원본_CardPackDrop'!$C$2:$C$245,$B$7,'원본_CardPackDrop'!$D$2:$D$245,A17)</x:f>
        <x:v>0</x:v>
      </x:c>
      <x:c r="E17" s="18" t="n">
        <x:f>IF(SUM($D$11:$D$50)&gt;0,D17/SUM($D$11:$D$50),NA())</x:f>
        <x:v>0</x:v>
      </x:c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23" customHeight="1">
      <x:c r="A18" s="8" t="n">
        <x:f>'원본_Card'!A9</x:f>
        <x:v>8</x:v>
      </x:c>
      <x:c r="B18" s="8" t="str">
        <x:f>'원본_Card'!C9</x:f>
        <x:v>깜밤이</x:v>
      </x:c>
      <x:c r="C18" s="8" t="str">
        <x:f>'원본_Card'!N9</x:f>
        <x:v>Rare</x:v>
      </x:c>
      <x:c r="D18" s="8" t="n">
        <x:f>SUMIFS('원본_CardPackDrop'!$E$2:$E$245,'원본_CardPackDrop'!$B$2:$B$245,$B$6,'원본_CardPackDrop'!$C$2:$C$245,$B$7,'원본_CardPackDrop'!$D$2:$D$245,A18)</x:f>
        <x:v>0</x:v>
      </x:c>
      <x:c r="E18" s="18" t="n">
        <x:f>IF(SUM($D$11:$D$50)&gt;0,D18/SUM($D$11:$D$50),NA())</x:f>
        <x:v>0</x:v>
      </x:c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n">
        <x:f>'원본_Card'!A10</x:f>
        <x:v>9</x:v>
      </x:c>
      <x:c r="B19" s="8" t="str">
        <x:f>'원본_Card'!C10</x:f>
        <x:v>버섯냥</x:v>
      </x:c>
      <x:c r="C19" s="8" t="str">
        <x:f>'원본_Card'!N10</x:f>
        <x:v>Common</x:v>
      </x:c>
      <x:c r="D19" s="8" t="n">
        <x:f>SUMIFS('원본_CardPackDrop'!$E$2:$E$245,'원본_CardPackDrop'!$B$2:$B$245,$B$6,'원본_CardPackDrop'!$C$2:$C$245,$B$7,'원본_CardPackDrop'!$D$2:$D$245,A19)</x:f>
        <x:v>662</x:v>
      </x:c>
      <x:c r="E19" s="18" t="n">
        <x:f>IF(SUM($D$11:$D$50)&gt;0,D19/SUM($D$11:$D$50),NA())</x:f>
        <x:v>0.0662</x:v>
      </x:c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 t="n">
        <x:f>'원본_Card'!A11</x:f>
        <x:v>10</x:v>
      </x:c>
      <x:c r="B20" s="8" t="str">
        <x:f>'원본_Card'!C11</x:f>
        <x:v>꿈먹이</x:v>
      </x:c>
      <x:c r="C20" s="8" t="str">
        <x:f>'원본_Card'!N11</x:f>
        <x:v>Rare</x:v>
      </x:c>
      <x:c r="D20" s="8" t="n">
        <x:f>SUMIFS('원본_CardPackDrop'!$E$2:$E$245,'원본_CardPackDrop'!$B$2:$B$245,$B$6,'원본_CardPackDrop'!$C$2:$C$245,$B$7,'원본_CardPackDrop'!$D$2:$D$245,A20)</x:f>
        <x:v>0</x:v>
      </x:c>
      <x:c r="E20" s="18" t="n">
        <x:f>IF(SUM($D$11:$D$50)&gt;0,D20/SUM($D$11:$D$50),NA())</x:f>
        <x:v>0</x:v>
      </x:c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 t="n">
        <x:f>'원본_Card'!A12</x:f>
        <x:v>11</x:v>
      </x:c>
      <x:c r="B21" s="8" t="str">
        <x:f>'원본_Card'!C12</x:f>
        <x:v>우드혼</x:v>
      </x:c>
      <x:c r="C21" s="8" t="str">
        <x:f>'원본_Card'!N12</x:f>
        <x:v>Rare</x:v>
      </x:c>
      <x:c r="D21" s="8" t="n">
        <x:f>SUMIFS('원본_CardPackDrop'!$E$2:$E$245,'원본_CardPackDrop'!$B$2:$B$245,$B$6,'원본_CardPackDrop'!$C$2:$C$245,$B$7,'원본_CardPackDrop'!$D$2:$D$245,A21)</x:f>
        <x:v>0</x:v>
      </x:c>
      <x:c r="E21" s="18" t="n">
        <x:f>IF(SUM($D$11:$D$50)&gt;0,D21/SUM($D$11:$D$50),NA())</x:f>
        <x:v>0</x:v>
      </x:c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 t="n">
        <x:f>'원본_Card'!A13</x:f>
        <x:v>12</x:v>
      </x:c>
      <x:c r="B22" s="8" t="str">
        <x:f>'원본_Card'!C13</x:f>
        <x:v>대장부리</x:v>
      </x:c>
      <x:c r="C22" s="8" t="str">
        <x:f>'원본_Card'!N13</x:f>
        <x:v>Arcane</x:v>
      </x:c>
      <x:c r="D22" s="8" t="n">
        <x:f>SUMIFS('원본_CardPackDrop'!$E$2:$E$245,'원본_CardPackDrop'!$B$2:$B$245,$B$6,'원본_CardPackDrop'!$C$2:$C$245,$B$7,'원본_CardPackDrop'!$D$2:$D$245,A22)</x:f>
        <x:v>9</x:v>
      </x:c>
      <x:c r="E22" s="18" t="n">
        <x:f>IF(SUM($D$11:$D$50)&gt;0,D22/SUM($D$11:$D$50),NA())</x:f>
        <x:v>0.0009</x:v>
      </x:c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23" customHeight="1">
      <x:c r="A23" s="8" t="n">
        <x:f>'원본_Card'!A14</x:f>
        <x:v>13</x:v>
      </x:c>
      <x:c r="B23" s="8" t="str">
        <x:f>'원본_Card'!C14</x:f>
        <x:v>늪꾸리</x:v>
      </x:c>
      <x:c r="C23" s="8" t="str">
        <x:f>'원본_Card'!N14</x:f>
        <x:v>Rare</x:v>
      </x:c>
      <x:c r="D23" s="8" t="n">
        <x:f>SUMIFS('원본_CardPackDrop'!$E$2:$E$245,'원본_CardPackDrop'!$B$2:$B$245,$B$6,'원본_CardPackDrop'!$C$2:$C$245,$B$7,'원본_CardPackDrop'!$D$2:$D$245,A23)</x:f>
        <x:v>400</x:v>
      </x:c>
      <x:c r="E23" s="18" t="n">
        <x:f>IF(SUM($D$11:$D$50)&gt;0,D23/SUM($D$11:$D$50),NA())</x:f>
        <x:v>0.04</x:v>
      </x:c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 t="n">
        <x:f>'원본_Card'!A15</x:f>
        <x:v>14</x:v>
      </x:c>
      <x:c r="B24" s="8" t="str">
        <x:f>'원본_Card'!C15</x:f>
        <x:v>해롱문어</x:v>
      </x:c>
      <x:c r="C24" s="8" t="str">
        <x:f>'원본_Card'!N15</x:f>
        <x:v>Rare</x:v>
      </x:c>
      <x:c r="D24" s="8" t="n">
        <x:f>SUMIFS('원본_CardPackDrop'!$E$2:$E$245,'원본_CardPackDrop'!$B$2:$B$245,$B$6,'원본_CardPackDrop'!$C$2:$C$245,$B$7,'원본_CardPackDrop'!$D$2:$D$245,A24)</x:f>
        <x:v>0</x:v>
      </x:c>
      <x:c r="E24" s="18" t="n">
        <x:f>IF(SUM($D$11:$D$50)&gt;0,D24/SUM($D$11:$D$50),NA())</x:f>
        <x:v>0</x:v>
      </x:c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 t="n">
        <x:f>'원본_Card'!A16</x:f>
        <x:v>15</x:v>
      </x:c>
      <x:c r="B25" s="8" t="str">
        <x:f>'원본_Card'!C16</x:f>
        <x:v>물방울룽</x:v>
      </x:c>
      <x:c r="C25" s="8" t="str">
        <x:f>'원본_Card'!N16</x:f>
        <x:v>Common</x:v>
      </x:c>
      <x:c r="D25" s="8" t="n">
        <x:f>SUMIFS('원본_CardPackDrop'!$E$2:$E$245,'원본_CardPackDrop'!$B$2:$B$245,$B$6,'원본_CardPackDrop'!$C$2:$C$245,$B$7,'원본_CardPackDrop'!$D$2:$D$245,A25)</x:f>
        <x:v>662</x:v>
      </x:c>
      <x:c r="E25" s="18" t="n">
        <x:f>IF(SUM($D$11:$D$50)&gt;0,D25/SUM($D$11:$D$50),NA())</x:f>
        <x:v>0.0662</x:v>
      </x:c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 t="n">
        <x:f>'원본_Card'!A17</x:f>
        <x:v>16</x:v>
      </x:c>
      <x:c r="B26" s="8" t="str">
        <x:f>'원본_Card'!C17</x:f>
        <x:v>풍선펭</x:v>
      </x:c>
      <x:c r="C26" s="8" t="str">
        <x:f>'원본_Card'!N17</x:f>
        <x:v>Common</x:v>
      </x:c>
      <x:c r="D26" s="8" t="n">
        <x:f>SUMIFS('원본_CardPackDrop'!$E$2:$E$245,'원본_CardPackDrop'!$B$2:$B$245,$B$6,'원본_CardPackDrop'!$C$2:$C$245,$B$7,'원본_CardPackDrop'!$D$2:$D$245,A26)</x:f>
        <x:v>662</x:v>
      </x:c>
      <x:c r="E26" s="18" t="n">
        <x:f>IF(SUM($D$11:$D$50)&gt;0,D26/SUM($D$11:$D$50),NA())</x:f>
        <x:v>0.0662</x:v>
      </x:c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23" customHeight="1">
      <x:c r="A27" s="8" t="n">
        <x:f>'원본_Card'!A18</x:f>
        <x:v>17</x:v>
      </x:c>
      <x:c r="B27" s="8" t="str">
        <x:f>'원본_Card'!C18</x:f>
        <x:v>와글도도</x:v>
      </x:c>
      <x:c r="C27" s="8" t="str">
        <x:f>'원본_Card'!N18</x:f>
        <x:v>Common</x:v>
      </x:c>
      <x:c r="D27" s="8" t="n">
        <x:f>SUMIFS('원본_CardPackDrop'!$E$2:$E$245,'원본_CardPackDrop'!$B$2:$B$245,$B$6,'원본_CardPackDrop'!$C$2:$C$245,$B$7,'원본_CardPackDrop'!$D$2:$D$245,A27)</x:f>
        <x:v>663</x:v>
      </x:c>
      <x:c r="E27" s="18" t="n">
        <x:f>IF(SUM($D$11:$D$50)&gt;0,D27/SUM($D$11:$D$50),NA())</x:f>
        <x:v>0.0663</x:v>
      </x:c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</x:row>
    <x:row r="28" ht="30" customHeight="1">
      <x:c r="A28" s="8" t="n">
        <x:f>'원본_Card'!A19</x:f>
        <x:v>18</x:v>
      </x:c>
      <x:c r="B28" s="8" t="str">
        <x:f>'원본_Card'!C19</x:f>
        <x:v>모래몽</x:v>
      </x:c>
      <x:c r="C28" s="8" t="str">
        <x:f>'원본_Card'!N19</x:f>
        <x:v>Common</x:v>
      </x:c>
      <x:c r="D28" s="8" t="n">
        <x:f>SUMIFS('원본_CardPackDrop'!$E$2:$E$245,'원본_CardPackDrop'!$B$2:$B$245,$B$6,'원본_CardPackDrop'!$C$2:$C$245,$B$7,'원본_CardPackDrop'!$D$2:$D$245,A28)</x:f>
        <x:v>663</x:v>
      </x:c>
      <x:c r="E28" s="18" t="n">
        <x:f>IF(SUM($D$11:$D$50)&gt;0,D28/SUM($D$11:$D$50),NA())</x:f>
        <x:v>0.0663</x:v>
      </x:c>
      <x:c r="F28" s="8"/>
      <x:c r="G28" s="8"/>
      <x:c r="H28" s="4" t="str">
        <x:v>등급</x:v>
      </x:c>
      <x:c r="I28" s="4" t="str">
        <x:v>등급별 확률</x:v>
      </x:c>
      <x:c r="J28" s="8"/>
      <x:c r="K28" s="8"/>
      <x:c r="L28" s="8"/>
      <x:c r="M28" s="8"/>
      <x:c r="N28" s="8"/>
      <x:c r="O28" s="8"/>
      <x:c r="P28" s="8"/>
      <x:c r="Q28" s="8"/>
      <x:c r="R28" s="8"/>
    </x:row>
    <x:row r="29" ht="23" customHeight="1">
      <x:c r="A29" s="8" t="n">
        <x:f>'원본_Card'!A20</x:f>
        <x:v>19</x:v>
      </x:c>
      <x:c r="B29" s="8" t="str">
        <x:f>'원본_Card'!C20</x:f>
        <x:v>얼음꼬미</x:v>
      </x:c>
      <x:c r="C29" s="8" t="str">
        <x:f>'원본_Card'!N20</x:f>
        <x:v>Common</x:v>
      </x:c>
      <x:c r="D29" s="8" t="n">
        <x:f>SUMIFS('원본_CardPackDrop'!$E$2:$E$245,'원본_CardPackDrop'!$B$2:$B$245,$B$6,'원본_CardPackDrop'!$C$2:$C$245,$B$7,'원본_CardPackDrop'!$D$2:$D$245,A29)</x:f>
        <x:v>663</x:v>
      </x:c>
      <x:c r="E29" s="18" t="n">
        <x:f>IF(SUM($D$11:$D$50)&gt;0,D29/SUM($D$11:$D$50),NA())</x:f>
        <x:v>0.0663</x:v>
      </x:c>
      <x:c r="F29" s="8"/>
      <x:c r="G29" s="8"/>
      <x:c r="H29" s="8" t="str">
        <x:v>Common</x:v>
      </x:c>
      <x:c r="I29" s="18" t="n">
        <x:f>SUMIF($C$11:$C$50,H29,$E$11:$E$50)</x:f>
        <x:v>0.795</x:v>
      </x:c>
      <x:c r="J29" s="8"/>
      <x:c r="K29" s="8"/>
      <x:c r="L29" s="8"/>
      <x:c r="M29" s="8"/>
      <x:c r="N29" s="8"/>
      <x:c r="O29" s="8"/>
      <x:c r="P29" s="8"/>
      <x:c r="Q29" s="8"/>
      <x:c r="R29" s="8"/>
    </x:row>
    <x:row r="30" ht="23" customHeight="1">
      <x:c r="A30" s="8" t="n">
        <x:f>'원본_Card'!A21</x:f>
        <x:v>20</x:v>
      </x:c>
      <x:c r="B30" s="8" t="str">
        <x:f>'원본_Card'!C21</x:f>
        <x:v>꿀꿀비</x:v>
      </x:c>
      <x:c r="C30" s="8" t="str">
        <x:f>'원본_Card'!N21</x:f>
        <x:v>Common</x:v>
      </x:c>
      <x:c r="D30" s="8" t="n">
        <x:f>SUMIFS('원본_CardPackDrop'!$E$2:$E$245,'원본_CardPackDrop'!$B$2:$B$245,$B$6,'원본_CardPackDrop'!$C$2:$C$245,$B$7,'원본_CardPackDrop'!$D$2:$D$245,A30)</x:f>
        <x:v>662</x:v>
      </x:c>
      <x:c r="E30" s="18" t="n">
        <x:f>IF(SUM($D$11:$D$50)&gt;0,D30/SUM($D$11:$D$50),NA())</x:f>
        <x:v>0.0662</x:v>
      </x:c>
      <x:c r="F30" s="8"/>
      <x:c r="G30" s="8"/>
      <x:c r="H30" s="8" t="str">
        <x:v>Rare</x:v>
      </x:c>
      <x:c r="I30" s="18" t="n">
        <x:f>SUMIF($C$11:$C$50,H30,$E$11:$E$50)</x:f>
        <x:v>0.2</x:v>
      </x:c>
      <x:c r="J30" s="8"/>
      <x:c r="K30" s="8"/>
      <x:c r="L30" s="8"/>
      <x:c r="M30" s="8"/>
      <x:c r="N30" s="8"/>
      <x:c r="O30" s="8"/>
      <x:c r="P30" s="8"/>
      <x:c r="Q30" s="8"/>
      <x:c r="R30" s="8"/>
    </x:row>
    <x:row r="31" ht="23" customHeight="1">
      <x:c r="A31" s="8" t="n">
        <x:f>'원본_Card'!A22</x:f>
        <x:v>21</x:v>
      </x:c>
      <x:c r="B31" s="8" t="str">
        <x:f>'원본_Card'!C22</x:f>
        <x:v>자석게</x:v>
      </x:c>
      <x:c r="C31" s="8" t="str">
        <x:f>'원본_Card'!N22</x:f>
        <x:v>Arcane</x:v>
      </x:c>
      <x:c r="D31" s="8" t="n">
        <x:f>SUMIFS('원본_CardPackDrop'!$E$2:$E$245,'원본_CardPackDrop'!$B$2:$B$245,$B$6,'원본_CardPackDrop'!$C$2:$C$245,$B$7,'원본_CardPackDrop'!$D$2:$D$245,A31)</x:f>
        <x:v>9</x:v>
      </x:c>
      <x:c r="E31" s="18" t="n">
        <x:f>IF(SUM($D$11:$D$50)&gt;0,D31/SUM($D$11:$D$50),NA())</x:f>
        <x:v>0.0009</x:v>
      </x:c>
      <x:c r="F31" s="8"/>
      <x:c r="G31" s="8"/>
      <x:c r="H31" s="8" t="str">
        <x:v>Arcane</x:v>
      </x:c>
      <x:c r="I31" s="18" t="n">
        <x:f>SUMIF($C$11:$C$50,H31,$E$11:$E$50)</x:f>
        <x:v>0.005</x:v>
      </x:c>
      <x:c r="J31" s="8"/>
      <x:c r="K31" s="8"/>
      <x:c r="L31" s="8"/>
      <x:c r="M31" s="8"/>
      <x:c r="N31" s="8"/>
      <x:c r="O31" s="8"/>
      <x:c r="P31" s="8"/>
      <x:c r="Q31" s="8"/>
      <x:c r="R31" s="8"/>
    </x:row>
    <x:row r="32" ht="23" customHeight="1">
      <x:c r="A32" s="8" t="n">
        <x:f>'원본_Card'!A23</x:f>
        <x:v>22</x:v>
      </x:c>
      <x:c r="B32" s="8" t="str">
        <x:f>'원본_Card'!C23</x:f>
        <x:v>톱니두더</x:v>
      </x:c>
      <x:c r="C32" s="8" t="str">
        <x:f>'원본_Card'!N23</x:f>
        <x:v>Rare</x:v>
      </x:c>
      <x:c r="D32" s="8" t="n">
        <x:f>SUMIFS('원본_CardPackDrop'!$E$2:$E$245,'원본_CardPackDrop'!$B$2:$B$245,$B$6,'원본_CardPackDrop'!$C$2:$C$245,$B$7,'원본_CardPackDrop'!$D$2:$D$245,A32)</x:f>
        <x:v>0</x:v>
      </x:c>
      <x:c r="E32" s="18" t="n">
        <x:f>IF(SUM($D$11:$D$50)&gt;0,D32/SUM($D$11:$D$50),NA())</x:f>
        <x:v>0</x:v>
      </x:c>
      <x:c r="F32" s="8"/>
      <x:c r="G32" s="8"/>
      <x:c r="H32" s="8" t="str">
        <x:v>Mythic</x:v>
      </x:c>
      <x:c r="I32" s="18" t="n">
        <x:f>SUMIF($C$11:$C$50,H32,$E$11:$E$50)</x:f>
        <x:v>0</x:v>
      </x:c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 t="n">
        <x:f>'원본_Card'!A24</x:f>
        <x:v>23</x:v>
      </x:c>
      <x:c r="B33" s="8" t="str">
        <x:f>'원본_Card'!C24</x:f>
        <x:v>눈덩곰</x:v>
      </x:c>
      <x:c r="C33" s="8" t="str">
        <x:f>'원본_Card'!N24</x:f>
        <x:v>Rare</x:v>
      </x:c>
      <x:c r="D33" s="8" t="n">
        <x:f>SUMIFS('원본_CardPackDrop'!$E$2:$E$245,'원본_CardPackDrop'!$B$2:$B$245,$B$6,'원본_CardPackDrop'!$C$2:$C$245,$B$7,'원본_CardPackDrop'!$D$2:$D$245,A33)</x:f>
        <x:v>0</x:v>
      </x:c>
      <x:c r="E33" s="18" t="n">
        <x:f>IF(SUM($D$11:$D$50)&gt;0,D33/SUM($D$11:$D$50),NA())</x:f>
        <x:v>0</x:v>
      </x:c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 t="n">
        <x:f>'원본_Card'!A25</x:f>
        <x:v>24</x:v>
      </x:c>
      <x:c r="B34" s="8" t="str">
        <x:f>'원본_Card'!C25</x:f>
        <x:v>화르룩스</x:v>
      </x:c>
      <x:c r="C34" s="8" t="str">
        <x:f>'원본_Card'!N25</x:f>
        <x:v>Rare</x:v>
      </x:c>
      <x:c r="D34" s="8" t="n">
        <x:f>SUMIFS('원본_CardPackDrop'!$E$2:$E$245,'원본_CardPackDrop'!$B$2:$B$245,$B$6,'원본_CardPackDrop'!$C$2:$C$245,$B$7,'원본_CardPackDrop'!$D$2:$D$245,A34)</x:f>
        <x:v>0</x:v>
      </x:c>
      <x:c r="E34" s="18" t="n">
        <x:f>IF(SUM($D$11:$D$50)&gt;0,D34/SUM($D$11:$D$50),NA())</x:f>
        <x:v>0</x:v>
      </x:c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23" customHeight="1">
      <x:c r="A35" s="8" t="n">
        <x:f>'원본_Card'!A26</x:f>
        <x:v>25</x:v>
      </x:c>
      <x:c r="B35" s="8" t="str">
        <x:f>'원본_Card'!C26</x:f>
        <x:v>찌릿핀</x:v>
      </x:c>
      <x:c r="C35" s="8" t="str">
        <x:f>'원본_Card'!N26</x:f>
        <x:v>Rare</x:v>
      </x:c>
      <x:c r="D35" s="8" t="n">
        <x:f>SUMIFS('원본_CardPackDrop'!$E$2:$E$245,'원본_CardPackDrop'!$B$2:$B$245,$B$6,'원본_CardPackDrop'!$C$2:$C$245,$B$7,'원본_CardPackDrop'!$D$2:$D$245,A35)</x:f>
        <x:v>0</x:v>
      </x:c>
      <x:c r="E35" s="18" t="n">
        <x:f>IF(SUM($D$11:$D$50)&gt;0,D35/SUM($D$11:$D$50),NA())</x:f>
        <x:v>0</x:v>
      </x:c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</x:row>
    <x:row r="36" ht="23" customHeight="1">
      <x:c r="A36" s="8" t="n">
        <x:f>'원본_Card'!A27</x:f>
        <x:v>26</x:v>
      </x:c>
      <x:c r="B36" s="8" t="str">
        <x:f>'원본_Card'!C27</x:f>
        <x:v>번개뿔</x:v>
      </x:c>
      <x:c r="C36" s="8" t="str">
        <x:f>'원본_Card'!N27</x:f>
        <x:v>Rare</x:v>
      </x:c>
      <x:c r="D36" s="8" t="n">
        <x:f>SUMIFS('원본_CardPackDrop'!$E$2:$E$245,'원본_CardPackDrop'!$B$2:$B$245,$B$6,'원본_CardPackDrop'!$C$2:$C$245,$B$7,'원본_CardPackDrop'!$D$2:$D$245,A36)</x:f>
        <x:v>0</x:v>
      </x:c>
      <x:c r="E36" s="18" t="n">
        <x:f>IF(SUM($D$11:$D$50)&gt;0,D36/SUM($D$11:$D$50),NA())</x:f>
        <x:v>0</x:v>
      </x:c>
      <x:c r="F36" s="8"/>
      <x:c r="G36" s="8"/>
      <x:c r="H36" s="8" t="str">
        <x:v>풀 합계 가중치</x:v>
      </x:c>
      <x:c r="I36" s="8" t="n">
        <x:f>SUM(D11:D50)</x:f>
        <x:v>10000</x:v>
      </x:c>
      <x:c r="J36" s="8"/>
      <x:c r="K36" s="8"/>
      <x:c r="L36" s="8"/>
      <x:c r="M36" s="8"/>
      <x:c r="N36" s="8"/>
      <x:c r="O36" s="8"/>
      <x:c r="P36" s="8"/>
      <x:c r="Q36" s="8"/>
      <x:c r="R36" s="8"/>
    </x:row>
    <x:row r="37" ht="23" customHeight="1">
      <x:c r="A37" s="8" t="n">
        <x:f>'원본_Card'!A28</x:f>
        <x:v>27</x:v>
      </x:c>
      <x:c r="B37" s="8" t="str">
        <x:f>'원본_Card'!C28</x:f>
        <x:v>모닥콩</x:v>
      </x:c>
      <x:c r="C37" s="8" t="str">
        <x:f>'원본_Card'!N28</x:f>
        <x:v>Rare</x:v>
      </x:c>
      <x:c r="D37" s="8" t="n">
        <x:f>SUMIFS('원본_CardPackDrop'!$E$2:$E$245,'원본_CardPackDrop'!$B$2:$B$245,$B$6,'원본_CardPackDrop'!$C$2:$C$245,$B$7,'원본_CardPackDrop'!$D$2:$D$245,A37)</x:f>
        <x:v>0</x:v>
      </x:c>
      <x:c r="E37" s="18" t="n">
        <x:f>IF(SUM($D$11:$D$50)&gt;0,D37/SUM($D$11:$D$50),NA())</x:f>
        <x:v>0</x:v>
      </x:c>
      <x:c r="F37" s="8"/>
      <x:c r="G37" s="8"/>
      <x:c r="H37" s="8" t="str">
        <x:v>중복 없는 추첨 여부</x:v>
      </x:c>
      <x:c r="I37" s="8" t="n">
        <x:f>VLOOKUP(B6,'원본_CardPack'!$B$2:$M$14,7,FALSE)</x:f>
        <x:v>0</x:v>
      </x:c>
      <x:c r="J37" s="8"/>
      <x:c r="K37" s="8"/>
      <x:c r="L37" s="8"/>
      <x:c r="M37" s="8"/>
      <x:c r="N37" s="8"/>
      <x:c r="O37" s="8"/>
      <x:c r="P37" s="8"/>
      <x:c r="Q37" s="8"/>
      <x:c r="R37" s="8"/>
    </x:row>
    <x:row r="38" ht="23" customHeight="1">
      <x:c r="A38" s="8" t="n">
        <x:f>'원본_Card'!A29</x:f>
        <x:v>28</x:v>
      </x:c>
      <x:c r="B38" s="8" t="str">
        <x:f>'원본_Card'!C29</x:f>
        <x:v>단풍꼬리</x:v>
      </x:c>
      <x:c r="C38" s="8" t="str">
        <x:f>'원본_Card'!N29</x:f>
        <x:v>Rare</x:v>
      </x:c>
      <x:c r="D38" s="8" t="n">
        <x:f>SUMIFS('원본_CardPackDrop'!$E$2:$E$245,'원본_CardPackDrop'!$B$2:$B$245,$B$6,'원본_CardPackDrop'!$C$2:$C$245,$B$7,'원본_CardPackDrop'!$D$2:$D$245,A38)</x:f>
        <x:v>0</x:v>
      </x:c>
      <x:c r="E38" s="18" t="n">
        <x:f>IF(SUM($D$11:$D$50)&gt;0,D38/SUM($D$11:$D$50),NA())</x:f>
        <x:v>0</x:v>
      </x:c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</x:row>
    <x:row r="39" ht="23" customHeight="1">
      <x:c r="A39" s="8" t="n">
        <x:f>'원본_Card'!A30</x:f>
        <x:v>29</x:v>
      </x:c>
      <x:c r="B39" s="8" t="str">
        <x:f>'원본_Card'!C30</x:f>
        <x:v>수정뿔루</x:v>
      </x:c>
      <x:c r="C39" s="8" t="str">
        <x:f>'원본_Card'!N30</x:f>
        <x:v>Rare</x:v>
      </x:c>
      <x:c r="D39" s="8" t="n">
        <x:f>SUMIFS('원본_CardPackDrop'!$E$2:$E$245,'원본_CardPackDrop'!$B$2:$B$245,$B$6,'원본_CardPackDrop'!$C$2:$C$245,$B$7,'원본_CardPackDrop'!$D$2:$D$245,A39)</x:f>
        <x:v>400</x:v>
      </x:c>
      <x:c r="E39" s="18" t="n">
        <x:f>IF(SUM($D$11:$D$50)&gt;0,D39/SUM($D$11:$D$50),NA())</x:f>
        <x:v>0.04</x:v>
      </x:c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 t="n">
        <x:f>'원본_Card'!A31</x:f>
        <x:v>30</x:v>
      </x:c>
      <x:c r="B40" s="8" t="str">
        <x:f>'원본_Card'!C31</x:f>
        <x:v>폭탄밤</x:v>
      </x:c>
      <x:c r="C40" s="8" t="str">
        <x:f>'원본_Card'!N31</x:f>
        <x:v>Rare</x:v>
      </x:c>
      <x:c r="D40" s="8" t="n">
        <x:f>SUMIFS('원본_CardPackDrop'!$E$2:$E$245,'원본_CardPackDrop'!$B$2:$B$245,$B$6,'원본_CardPackDrop'!$C$2:$C$245,$B$7,'원본_CardPackDrop'!$D$2:$D$245,A40)</x:f>
        <x:v>400</x:v>
      </x:c>
      <x:c r="E40" s="18" t="n">
        <x:f>IF(SUM($D$11:$D$50)&gt;0,D40/SUM($D$11:$D$50),NA())</x:f>
        <x:v>0.04</x:v>
      </x:c>
      <x:c r="F40" s="8"/>
      <x:c r="G40" s="8"/>
      <x:c r="H40" s="8" t="str">
        <x:v>풀 합계가 0이면 없는 조합입니다. minGrade를 다시 선택하세요.</x:v>
      </x:c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 t="n">
        <x:f>'원본_Card'!A32</x:f>
        <x:v>31</x:v>
      </x:c>
      <x:c r="B41" s="8" t="str">
        <x:f>'원본_Card'!C32</x:f>
        <x:v>크리스탈혼</x:v>
      </x:c>
      <x:c r="C41" s="8" t="str">
        <x:f>'원본_Card'!N32</x:f>
        <x:v>Arcane</x:v>
      </x:c>
      <x:c r="D41" s="8" t="n">
        <x:f>SUMIFS('원본_CardPackDrop'!$E$2:$E$245,'원본_CardPackDrop'!$B$2:$B$245,$B$6,'원본_CardPackDrop'!$C$2:$C$245,$B$7,'원본_CardPackDrop'!$D$2:$D$245,A41)</x:f>
        <x:v>8</x:v>
      </x:c>
      <x:c r="E41" s="18" t="n">
        <x:f>IF(SUM($D$11:$D$50)&gt;0,D41/SUM($D$11:$D$50),NA())</x:f>
        <x:v>0.0008</x:v>
      </x:c>
      <x:c r="F41" s="8"/>
      <x:c r="G41" s="8"/>
      <x:c r="H41" s="8" t="str">
        <x:v>상점 구매 가능 랭크는 CardPack.minRankGrade에서 별도로 확인합니다.</x:v>
      </x:c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 t="n">
        <x:f>'원본_Card'!A33</x:f>
        <x:v>32</x:v>
      </x:c>
      <x:c r="B42" s="8" t="str">
        <x:f>'원본_Card'!C33</x:f>
        <x:v>별꼬리</x:v>
      </x:c>
      <x:c r="C42" s="8" t="str">
        <x:f>'원본_Card'!N33</x:f>
        <x:v>Arcane</x:v>
      </x:c>
      <x:c r="D42" s="8" t="n">
        <x:f>SUMIFS('원본_CardPackDrop'!$E$2:$E$245,'원본_CardPackDrop'!$B$2:$B$245,$B$6,'원본_CardPackDrop'!$C$2:$C$245,$B$7,'원본_CardPackDrop'!$D$2:$D$245,A42)</x:f>
        <x:v>8</x:v>
      </x:c>
      <x:c r="E42" s="18" t="n">
        <x:f>IF(SUM($D$11:$D$50)&gt;0,D42/SUM($D$11:$D$50),NA())</x:f>
        <x:v>0.0008</x:v>
      </x:c>
      <x:c r="F42" s="8"/>
      <x:c r="G42" s="8"/>
      <x:c r="H42" s="8" t="str">
        <x:v>입력은 실제 풀 키입니다. 현재 플레이어 랭크 자동 선택 기능은 없습니다.</x:v>
      </x:c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 t="n">
        <x:f>'원본_Card'!A34</x:f>
        <x:v>33</x:v>
      </x:c>
      <x:c r="B43" s="8" t="str">
        <x:f>'원본_Card'!C34</x:f>
        <x:v>루미엘크</x:v>
      </x:c>
      <x:c r="C43" s="8" t="str">
        <x:f>'원본_Card'!N34</x:f>
        <x:v>Rare</x:v>
      </x:c>
      <x:c r="D43" s="8" t="n">
        <x:f>SUMIFS('원본_CardPackDrop'!$E$2:$E$245,'원본_CardPackDrop'!$B$2:$B$245,$B$6,'원본_CardPackDrop'!$C$2:$C$245,$B$7,'원본_CardPackDrop'!$D$2:$D$245,A43)</x:f>
        <x:v>0</x:v>
      </x:c>
      <x:c r="E43" s="18" t="n">
        <x:f>IF(SUM($D$11:$D$50)&gt;0,D43/SUM($D$11:$D$50),NA())</x:f>
        <x:v>0</x:v>
      </x:c>
      <x:c r="F43" s="8"/>
      <x:c r="G43" s="8"/>
      <x:c r="H43" s="8" t="str">
        <x:v>현재 weight는 전부 양수입니다. 0 이하 저작은 이 분석식 범위 밖입니다.</x:v>
      </x:c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 t="n">
        <x:f>'원본_Card'!A35</x:f>
        <x:v>34</x:v>
      </x:c>
      <x:c r="B44" s="8" t="str">
        <x:f>'원본_Card'!C35</x:f>
        <x:v>마그몰</x:v>
      </x:c>
      <x:c r="C44" s="8" t="str">
        <x:f>'원본_Card'!N35</x:f>
        <x:v>Rare</x:v>
      </x:c>
      <x:c r="D44" s="8" t="n">
        <x:f>SUMIFS('원본_CardPackDrop'!$E$2:$E$245,'원본_CardPackDrop'!$B$2:$B$245,$B$6,'원본_CardPackDrop'!$C$2:$C$245,$B$7,'원본_CardPackDrop'!$D$2:$D$245,A44)</x:f>
        <x:v>0</x:v>
      </x:c>
      <x:c r="E44" s="18" t="n">
        <x:f>IF(SUM($D$11:$D$50)&gt;0,D44/SUM($D$11:$D$50),NA())</x:f>
        <x:v>0</x:v>
      </x:c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 t="n">
        <x:f>'원본_Card'!A36</x:f>
        <x:v>35</x:v>
      </x:c>
      <x:c r="B45" s="8" t="str">
        <x:f>'원본_Card'!C36</x:f>
        <x:v>문바이트</x:v>
      </x:c>
      <x:c r="C45" s="8" t="str">
        <x:f>'원본_Card'!N36</x:f>
        <x:v>Common</x:v>
      </x:c>
      <x:c r="D45" s="8" t="n">
        <x:f>SUMIFS('원본_CardPackDrop'!$E$2:$E$245,'원본_CardPackDrop'!$B$2:$B$245,$B$6,'원본_CardPackDrop'!$C$2:$C$245,$B$7,'원본_CardPackDrop'!$D$2:$D$245,A45)</x:f>
        <x:v>662</x:v>
      </x:c>
      <x:c r="E45" s="18" t="n">
        <x:f>IF(SUM($D$11:$D$50)&gt;0,D45/SUM($D$11:$D$50),NA())</x:f>
        <x:v>0.0662</x:v>
      </x:c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 t="n">
        <x:f>'원본_Card'!A37</x:f>
        <x:v>36</x:v>
      </x:c>
      <x:c r="B46" s="8" t="str">
        <x:f>'원본_Card'!C37</x:f>
        <x:v>틱톡곤</x:v>
      </x:c>
      <x:c r="C46" s="8" t="str">
        <x:f>'원본_Card'!N37</x:f>
        <x:v>Arcane</x:v>
      </x:c>
      <x:c r="D46" s="8" t="n">
        <x:f>SUMIFS('원본_CardPackDrop'!$E$2:$E$245,'원본_CardPackDrop'!$B$2:$B$245,$B$6,'원본_CardPackDrop'!$C$2:$C$245,$B$7,'원본_CardPackDrop'!$D$2:$D$245,A46)</x:f>
        <x:v>8</x:v>
      </x:c>
      <x:c r="E46" s="18" t="n">
        <x:f>IF(SUM($D$11:$D$50)&gt;0,D46/SUM($D$11:$D$50),NA())</x:f>
        <x:v>0.0008</x:v>
      </x:c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 t="n">
        <x:f>'원본_Card'!A38</x:f>
        <x:v>37</x:v>
      </x:c>
      <x:c r="B47" s="8" t="str">
        <x:f>'원본_Card'!C38</x:f>
        <x:v>마그네토스</x:v>
      </x:c>
      <x:c r="C47" s="8" t="str">
        <x:f>'원본_Card'!N38</x:f>
        <x:v>Rare</x:v>
      </x:c>
      <x:c r="D47" s="8" t="n">
        <x:f>SUMIFS('원본_CardPackDrop'!$E$2:$E$245,'원본_CardPackDrop'!$B$2:$B$245,$B$6,'원본_CardPackDrop'!$C$2:$C$245,$B$7,'원본_CardPackDrop'!$D$2:$D$245,A47)</x:f>
        <x:v>0</x:v>
      </x:c>
      <x:c r="E47" s="18" t="n">
        <x:f>IF(SUM($D$11:$D$50)&gt;0,D47/SUM($D$11:$D$50),NA())</x:f>
        <x:v>0</x:v>
      </x:c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 t="n">
        <x:f>'원본_Card'!A39</x:f>
        <x:v>38</x:v>
      </x:c>
      <x:c r="B48" s="8" t="str">
        <x:f>'원본_Card'!C39</x:f>
        <x:v>크랙몬</x:v>
      </x:c>
      <x:c r="C48" s="8" t="str">
        <x:f>'원본_Card'!N39</x:f>
        <x:v>Arcane</x:v>
      </x:c>
      <x:c r="D48" s="8" t="n">
        <x:f>SUMIFS('원본_CardPackDrop'!$E$2:$E$245,'원본_CardPackDrop'!$B$2:$B$245,$B$6,'원본_CardPackDrop'!$C$2:$C$245,$B$7,'원본_CardPackDrop'!$D$2:$D$245,A48)</x:f>
        <x:v>8</x:v>
      </x:c>
      <x:c r="E48" s="18" t="n">
        <x:f>IF(SUM($D$11:$D$50)&gt;0,D48/SUM($D$11:$D$50),NA())</x:f>
        <x:v>0.0008</x:v>
      </x:c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 t="n">
        <x:f>'원본_Card'!A40</x:f>
        <x:v>39</x:v>
      </x:c>
      <x:c r="B49" s="8" t="str">
        <x:f>'원본_Card'!C40</x:f>
        <x:v>라이고르</x:v>
      </x:c>
      <x:c r="C49" s="8" t="str">
        <x:f>'원본_Card'!N40</x:f>
        <x:v>Mythic</x:v>
      </x:c>
      <x:c r="D49" s="8" t="n">
        <x:f>SUMIFS('원본_CardPackDrop'!$E$2:$E$245,'원본_CardPackDrop'!$B$2:$B$245,$B$6,'원본_CardPackDrop'!$C$2:$C$245,$B$7,'원본_CardPackDrop'!$D$2:$D$245,A49)</x:f>
        <x:v>0</x:v>
      </x:c>
      <x:c r="E49" s="18" t="n">
        <x:f>IF(SUM($D$11:$D$50)&gt;0,D49/SUM($D$11:$D$50),NA())</x:f>
        <x:v>0</x:v>
      </x:c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 t="n">
        <x:f>'원본_Card'!A41</x:f>
        <x:v>40</x:v>
      </x:c>
      <x:c r="B50" s="8" t="str">
        <x:f>'원본_Card'!C41</x:f>
        <x:v>피닉시아</x:v>
      </x:c>
      <x:c r="C50" s="8" t="str">
        <x:f>'원본_Card'!N41</x:f>
        <x:v>Mythic</x:v>
      </x:c>
      <x:c r="D50" s="8" t="n">
        <x:f>SUMIFS('원본_CardPackDrop'!$E$2:$E$245,'원본_CardPackDrop'!$B$2:$B$245,$B$6,'원본_CardPackDrop'!$C$2:$C$245,$B$7,'원본_CardPackDrop'!$D$2:$D$245,A50)</x:f>
        <x:v>0</x:v>
      </x:c>
      <x:c r="E50" s="18" t="n">
        <x:f>IF(SUM($D$11:$D$50)&gt;0,D50/SUM($D$11:$D$50),NA())</x:f>
        <x:v>0</x:v>
      </x:c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dataValidations count="2">
    <x:dataValidation type="list" sqref="B6">
      <x:formula1>'원본_CardPack'!$B$2:$B$14</x:formula1>
    </x:dataValidation>
    <x:dataValidation type="list" sqref="B7">
      <x:formula1>"Bronze,Silver,Gold,Platinum,Diamond"</x:formula1>
    </x:dataValidation>
  </x:dataValidations>
  <x:pageMargins left="0.7" right="0.7" top="0.75" bottom="0.75" header="0.3" footer="0.3"/>
  <x:drawing xmlns:r="http://schemas.openxmlformats.org/officeDocument/2006/relationships" r:id="R037fc80771014564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랭크 후보별 성장 HP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슬롯 카드 ID와 슬롯별 레벨·한계돌파를 같은 순서로 결합합니다.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30" customHeight="1">
      <x:c r="A6" s="4" t="str">
        <x:v>티어</x:v>
      </x:c>
      <x:c r="B6" s="4" t="str">
        <x:v>종류</x:v>
      </x:c>
      <x:c r="C6" s="4" t="str">
        <x:v>덱 ID</x:v>
      </x:c>
      <x:c r="D6" s="4" t="str">
        <x:v>가중치</x:v>
      </x:c>
      <x:c r="E6" s="4" t="str">
        <x:v>카드1</x:v>
      </x:c>
      <x:c r="F6" s="4" t="str">
        <x:v>카드2</x:v>
      </x:c>
      <x:c r="G6" s="4" t="str">
        <x:v>카드3</x:v>
      </x:c>
      <x:c r="H6" s="4" t="str">
        <x:v>카드4</x:v>
      </x:c>
      <x:c r="I6" s="4" t="str">
        <x:v>카드5</x:v>
      </x:c>
      <x:c r="J6" s="4" t="str">
        <x:v>카드6</x:v>
      </x:c>
      <x:c r="K6" s="4" t="str">
        <x:v>HP1</x:v>
      </x:c>
      <x:c r="L6" s="4" t="str">
        <x:v>HP2</x:v>
      </x:c>
      <x:c r="M6" s="4" t="str">
        <x:v>HP3</x:v>
      </x:c>
      <x:c r="N6" s="4" t="str">
        <x:v>HP4</x:v>
      </x:c>
      <x:c r="O6" s="4" t="str">
        <x:v>HP5</x:v>
      </x:c>
      <x:c r="P6" s="4" t="str">
        <x:v>HP6</x:v>
      </x:c>
      <x:c r="Q6" s="4" t="str">
        <x:v>HP 합계</x:v>
      </x:c>
      <x:c r="R6" s="8"/>
    </x:row>
    <x:row r="7" ht="23" customHeight="1">
      <x:c r="A7" s="8" t="n">
        <x:f>'원본_RankAiEncounter'!B2</x:f>
        <x:v>0</x:v>
      </x:c>
      <x:c r="B7" s="8" t="str">
        <x:f>'원본_RankAiEncounter'!C2</x:f>
        <x:v>Normal</x:v>
      </x:c>
      <x:c r="C7" s="8" t="str">
        <x:f>'원본_RankAiEncounter'!D2</x:f>
        <x:v>deck_10</x:v>
      </x:c>
      <x:c r="D7" s="8" t="n">
        <x:f>MAX(1,VLOOKUP(C7,'원본_AIDeck'!$B$2:$N$47,5,FALSE))</x:f>
        <x:v>1</x:v>
      </x:c>
      <x:c r="E7" s="8" t="n">
        <x:f>VLOOKUP(C7,'원본_AIDeck'!$B$2:$N$47,8,FALSE)</x:f>
        <x:v>29</x:v>
      </x:c>
      <x:c r="F7" s="8" t="n">
        <x:f>VLOOKUP(C7,'원본_AIDeck'!$B$2:$N$47,9,FALSE)</x:f>
        <x:v>20</x:v>
      </x:c>
      <x:c r="G7" s="8" t="n">
        <x:f>VLOOKUP(C7,'원본_AIDeck'!$B$2:$N$47,10,FALSE)</x:f>
        <x:v>18</x:v>
      </x:c>
      <x:c r="H7" s="8" t="n">
        <x:f>VLOOKUP(C7,'원본_AIDeck'!$B$2:$N$47,11,FALSE)</x:f>
        <x:v>4</x:v>
      </x:c>
      <x:c r="I7" s="8" t="n">
        <x:f>VLOOKUP(C7,'원본_AIDeck'!$B$2:$N$47,12,FALSE)</x:f>
        <x:v>6</x:v>
      </x:c>
      <x:c r="J7" s="8" t="n">
        <x:f>VLOOKUP(C7,'원본_AIDeck'!$B$2:$N$47,13,FALSE)</x:f>
        <x:v>27</x:v>
      </x:c>
      <x:c r="K7" s="8" t="n">
        <x:f>VLOOKUP(E7,'카드성장'!$A$7:$G$46,'원본_RankAiEncounter'!E2+2,FALSE)+SUMIF('원본_CardLimitBreak'!$B$2:$B$4,"&lt;="&amp;'원본_RankAiEncounter'!K2,'원본_CardLimitBreak'!$C$2:$C$4)</x:f>
        <x:v>4</x:v>
      </x:c>
      <x:c r="L7" s="8" t="n">
        <x:f>VLOOKUP(F7,'카드성장'!$A$7:$G$46,'원본_RankAiEncounter'!F2+2,FALSE)+SUMIF('원본_CardLimitBreak'!$B$2:$B$4,"&lt;="&amp;'원본_RankAiEncounter'!L2,'원본_CardLimitBreak'!$C$2:$C$4)</x:f>
        <x:v>6</x:v>
      </x:c>
      <x:c r="M7" s="8" t="n">
        <x:f>VLOOKUP(G7,'카드성장'!$A$7:$G$46,'원본_RankAiEncounter'!G2+2,FALSE)+SUMIF('원본_CardLimitBreak'!$B$2:$B$4,"&lt;="&amp;'원본_RankAiEncounter'!M2,'원본_CardLimitBreak'!$C$2:$C$4)</x:f>
        <x:v>3</x:v>
      </x:c>
      <x:c r="N7" s="8" t="n">
        <x:f>VLOOKUP(H7,'카드성장'!$A$7:$G$46,'원본_RankAiEncounter'!H2+2,FALSE)+SUMIF('원본_CardLimitBreak'!$B$2:$B$4,"&lt;="&amp;'원본_RankAiEncounter'!N2,'원본_CardLimitBreak'!$C$2:$C$4)</x:f>
        <x:v>7</x:v>
      </x:c>
      <x:c r="O7" s="8" t="n">
        <x:f>VLOOKUP(I7,'카드성장'!$A$7:$G$46,'원본_RankAiEncounter'!I2+2,FALSE)+SUMIF('원본_CardLimitBreak'!$B$2:$B$4,"&lt;="&amp;'원본_RankAiEncounter'!O2,'원본_CardLimitBreak'!$C$2:$C$4)</x:f>
        <x:v>6</x:v>
      </x:c>
      <x:c r="P7" s="8" t="n">
        <x:f>VLOOKUP(J7,'카드성장'!$A$7:$G$46,'원본_RankAiEncounter'!J2+2,FALSE)+SUMIF('원본_CardLimitBreak'!$B$2:$B$4,"&lt;="&amp;'원본_RankAiEncounter'!P2,'원본_CardLimitBreak'!$C$2:$C$4)</x:f>
        <x:v>4</x:v>
      </x:c>
      <x:c r="Q7" s="8" t="n">
        <x:f>SUM(K7:P7)</x:f>
        <x:v>30</x:v>
      </x:c>
      <x:c r="R7" s="8"/>
    </x:row>
    <x:row r="8" ht="23" customHeight="1">
      <x:c r="A8" s="8" t="n">
        <x:f>'원본_RankAiEncounter'!B3</x:f>
        <x:v>0</x:v>
      </x:c>
      <x:c r="B8" s="8" t="str">
        <x:f>'원본_RankAiEncounter'!C3</x:f>
        <x:v>Normal</x:v>
      </x:c>
      <x:c r="C8" s="8" t="str">
        <x:f>'원본_RankAiEncounter'!D3</x:f>
        <x:v>deck_11</x:v>
      </x:c>
      <x:c r="D8" s="8" t="n">
        <x:f>MAX(1,VLOOKUP(C8,'원본_AIDeck'!$B$2:$N$47,5,FALSE))</x:f>
        <x:v>1</x:v>
      </x:c>
      <x:c r="E8" s="8" t="n">
        <x:f>VLOOKUP(C8,'원본_AIDeck'!$B$2:$N$47,8,FALSE)</x:f>
        <x:v>29</x:v>
      </x:c>
      <x:c r="F8" s="8" t="n">
        <x:f>VLOOKUP(C8,'원본_AIDeck'!$B$2:$N$47,9,FALSE)</x:f>
        <x:v>4</x:v>
      </x:c>
      <x:c r="G8" s="8" t="n">
        <x:f>VLOOKUP(C8,'원본_AIDeck'!$B$2:$N$47,10,FALSE)</x:f>
        <x:v>17</x:v>
      </x:c>
      <x:c r="H8" s="8" t="n">
        <x:f>VLOOKUP(C8,'원본_AIDeck'!$B$2:$N$47,11,FALSE)</x:f>
        <x:v>20</x:v>
      </x:c>
      <x:c r="I8" s="8" t="n">
        <x:f>VLOOKUP(C8,'원본_AIDeck'!$B$2:$N$47,12,FALSE)</x:f>
        <x:v>11</x:v>
      </x:c>
      <x:c r="J8" s="8" t="n">
        <x:f>VLOOKUP(C8,'원본_AIDeck'!$B$2:$N$47,13,FALSE)</x:f>
        <x:v>26</x:v>
      </x:c>
      <x:c r="K8" s="8" t="n">
        <x:f>VLOOKUP(E8,'카드성장'!$A$7:$G$46,'원본_RankAiEncounter'!E3+2,FALSE)+SUMIF('원본_CardLimitBreak'!$B$2:$B$4,"&lt;="&amp;'원본_RankAiEncounter'!K3,'원본_CardLimitBreak'!$C$2:$C$4)</x:f>
        <x:v>4</x:v>
      </x:c>
      <x:c r="L8" s="8" t="n">
        <x:f>VLOOKUP(F8,'카드성장'!$A$7:$G$46,'원본_RankAiEncounter'!F3+2,FALSE)+SUMIF('원본_CardLimitBreak'!$B$2:$B$4,"&lt;="&amp;'원본_RankAiEncounter'!L3,'원본_CardLimitBreak'!$C$2:$C$4)</x:f>
        <x:v>7</x:v>
      </x:c>
      <x:c r="M8" s="8" t="n">
        <x:f>VLOOKUP(G8,'카드성장'!$A$7:$G$46,'원본_RankAiEncounter'!G3+2,FALSE)+SUMIF('원본_CardLimitBreak'!$B$2:$B$4,"&lt;="&amp;'원본_RankAiEncounter'!M3,'원본_CardLimitBreak'!$C$2:$C$4)</x:f>
        <x:v>2</x:v>
      </x:c>
      <x:c r="N8" s="8" t="n">
        <x:f>VLOOKUP(H8,'카드성장'!$A$7:$G$46,'원본_RankAiEncounter'!H3+2,FALSE)+SUMIF('원본_CardLimitBreak'!$B$2:$B$4,"&lt;="&amp;'원본_RankAiEncounter'!N3,'원본_CardLimitBreak'!$C$2:$C$4)</x:f>
        <x:v>6</x:v>
      </x:c>
      <x:c r="O8" s="8" t="n">
        <x:f>VLOOKUP(I8,'카드성장'!$A$7:$G$46,'원본_RankAiEncounter'!I3+2,FALSE)+SUMIF('원본_CardLimitBreak'!$B$2:$B$4,"&lt;="&amp;'원본_RankAiEncounter'!O3,'원본_CardLimitBreak'!$C$2:$C$4)</x:f>
        <x:v>4</x:v>
      </x:c>
      <x:c r="P8" s="8" t="n">
        <x:f>VLOOKUP(J8,'카드성장'!$A$7:$G$46,'원본_RankAiEncounter'!J3+2,FALSE)+SUMIF('원본_CardLimitBreak'!$B$2:$B$4,"&lt;="&amp;'원본_RankAiEncounter'!P3,'원본_CardLimitBreak'!$C$2:$C$4)</x:f>
        <x:v>5</x:v>
      </x:c>
      <x:c r="Q8" s="8" t="n">
        <x:f>SUM(K8:P8)</x:f>
        <x:v>28</x:v>
      </x:c>
      <x:c r="R8" s="8"/>
    </x:row>
    <x:row r="9" ht="23" customHeight="1">
      <x:c r="A9" s="8" t="n">
        <x:f>'원본_RankAiEncounter'!B4</x:f>
        <x:v>1</x:v>
      </x:c>
      <x:c r="B9" s="8" t="str">
        <x:f>'원본_RankAiEncounter'!C4</x:f>
        <x:v>Normal</x:v>
      </x:c>
      <x:c r="C9" s="8" t="str">
        <x:f>'원본_RankAiEncounter'!D4</x:f>
        <x:v>deck_12</x:v>
      </x:c>
      <x:c r="D9" s="8" t="n">
        <x:f>MAX(1,VLOOKUP(C9,'원본_AIDeck'!$B$2:$N$47,5,FALSE))</x:f>
        <x:v>1</x:v>
      </x:c>
      <x:c r="E9" s="8" t="n">
        <x:f>VLOOKUP(C9,'원본_AIDeck'!$B$2:$N$47,8,FALSE)</x:f>
        <x:v>17</x:v>
      </x:c>
      <x:c r="F9" s="8" t="n">
        <x:f>VLOOKUP(C9,'원본_AIDeck'!$B$2:$N$47,9,FALSE)</x:f>
        <x:v>18</x:v>
      </x:c>
      <x:c r="G9" s="8" t="n">
        <x:f>VLOOKUP(C9,'원본_AIDeck'!$B$2:$N$47,10,FALSE)</x:f>
        <x:v>2</x:v>
      </x:c>
      <x:c r="H9" s="8" t="n">
        <x:f>VLOOKUP(C9,'원본_AIDeck'!$B$2:$N$47,11,FALSE)</x:f>
        <x:v>20</x:v>
      </x:c>
      <x:c r="I9" s="8" t="n">
        <x:f>VLOOKUP(C9,'원본_AIDeck'!$B$2:$N$47,12,FALSE)</x:f>
        <x:v>6</x:v>
      </x:c>
      <x:c r="J9" s="8" t="n">
        <x:f>VLOOKUP(C9,'원본_AIDeck'!$B$2:$N$47,13,FALSE)</x:f>
        <x:v>27</x:v>
      </x:c>
      <x:c r="K9" s="8" t="n">
        <x:f>VLOOKUP(E9,'카드성장'!$A$7:$G$46,'원본_RankAiEncounter'!E4+2,FALSE)+SUMIF('원본_CardLimitBreak'!$B$2:$B$4,"&lt;="&amp;'원본_RankAiEncounter'!K4,'원본_CardLimitBreak'!$C$2:$C$4)</x:f>
        <x:v>4</x:v>
      </x:c>
      <x:c r="L9" s="8" t="n">
        <x:f>VLOOKUP(F9,'카드성장'!$A$7:$G$46,'원본_RankAiEncounter'!F4+2,FALSE)+SUMIF('원본_CardLimitBreak'!$B$2:$B$4,"&lt;="&amp;'원본_RankAiEncounter'!L4,'원본_CardLimitBreak'!$C$2:$C$4)</x:f>
        <x:v>5</x:v>
      </x:c>
      <x:c r="M9" s="8" t="n">
        <x:f>VLOOKUP(G9,'카드성장'!$A$7:$G$46,'원본_RankAiEncounter'!G4+2,FALSE)+SUMIF('원본_CardLimitBreak'!$B$2:$B$4,"&lt;="&amp;'원본_RankAiEncounter'!M4,'원본_CardLimitBreak'!$C$2:$C$4)</x:f>
        <x:v>5</x:v>
      </x:c>
      <x:c r="N9" s="8" t="n">
        <x:f>VLOOKUP(H9,'카드성장'!$A$7:$G$46,'원본_RankAiEncounter'!H4+2,FALSE)+SUMIF('원본_CardLimitBreak'!$B$2:$B$4,"&lt;="&amp;'원본_RankAiEncounter'!N4,'원본_CardLimitBreak'!$C$2:$C$4)</x:f>
        <x:v>6</x:v>
      </x:c>
      <x:c r="O9" s="8" t="n">
        <x:f>VLOOKUP(I9,'카드성장'!$A$7:$G$46,'원본_RankAiEncounter'!I4+2,FALSE)+SUMIF('원본_CardLimitBreak'!$B$2:$B$4,"&lt;="&amp;'원본_RankAiEncounter'!O4,'원본_CardLimitBreak'!$C$2:$C$4)</x:f>
        <x:v>8</x:v>
      </x:c>
      <x:c r="P9" s="8" t="n">
        <x:f>VLOOKUP(J9,'카드성장'!$A$7:$G$46,'원본_RankAiEncounter'!J4+2,FALSE)+SUMIF('원본_CardLimitBreak'!$B$2:$B$4,"&lt;="&amp;'원본_RankAiEncounter'!P4,'원본_CardLimitBreak'!$C$2:$C$4)</x:f>
        <x:v>5</x:v>
      </x:c>
      <x:c r="Q9" s="8" t="n">
        <x:f>SUM(K9:P9)</x:f>
        <x:v>33</x:v>
      </x:c>
      <x:c r="R9" s="8"/>
    </x:row>
    <x:row r="10" ht="23" customHeight="1">
      <x:c r="A10" s="8" t="n">
        <x:f>'원본_RankAiEncounter'!B5</x:f>
        <x:v>1</x:v>
      </x:c>
      <x:c r="B10" s="8" t="str">
        <x:f>'원본_RankAiEncounter'!C5</x:f>
        <x:v>Normal</x:v>
      </x:c>
      <x:c r="C10" s="8" t="str">
        <x:f>'원본_RankAiEncounter'!D5</x:f>
        <x:v>deck_13</x:v>
      </x:c>
      <x:c r="D10" s="8" t="n">
        <x:f>MAX(1,VLOOKUP(C10,'원본_AIDeck'!$B$2:$N$47,5,FALSE))</x:f>
        <x:v>1</x:v>
      </x:c>
      <x:c r="E10" s="8" t="n">
        <x:f>VLOOKUP(C10,'원본_AIDeck'!$B$2:$N$47,8,FALSE)</x:f>
        <x:v>29</x:v>
      </x:c>
      <x:c r="F10" s="8" t="n">
        <x:f>VLOOKUP(C10,'원본_AIDeck'!$B$2:$N$47,9,FALSE)</x:f>
        <x:v>20</x:v>
      </x:c>
      <x:c r="G10" s="8" t="n">
        <x:f>VLOOKUP(C10,'원본_AIDeck'!$B$2:$N$47,10,FALSE)</x:f>
        <x:v>5</x:v>
      </x:c>
      <x:c r="H10" s="8" t="n">
        <x:f>VLOOKUP(C10,'원본_AIDeck'!$B$2:$N$47,11,FALSE)</x:f>
        <x:v>37</x:v>
      </x:c>
      <x:c r="I10" s="8" t="n">
        <x:f>VLOOKUP(C10,'원본_AIDeck'!$B$2:$N$47,12,FALSE)</x:f>
        <x:v>28</x:v>
      </x:c>
      <x:c r="J10" s="8" t="n">
        <x:f>VLOOKUP(C10,'원본_AIDeck'!$B$2:$N$47,13,FALSE)</x:f>
        <x:v>2</x:v>
      </x:c>
      <x:c r="K10" s="8" t="n">
        <x:f>VLOOKUP(E10,'카드성장'!$A$7:$G$46,'원본_RankAiEncounter'!E5+2,FALSE)+SUMIF('원본_CardLimitBreak'!$B$2:$B$4,"&lt;="&amp;'원본_RankAiEncounter'!K5,'원본_CardLimitBreak'!$C$2:$C$4)</x:f>
        <x:v>5</x:v>
      </x:c>
      <x:c r="L10" s="8" t="n">
        <x:f>VLOOKUP(F10,'카드성장'!$A$7:$G$46,'원본_RankAiEncounter'!F5+2,FALSE)+SUMIF('원본_CardLimitBreak'!$B$2:$B$4,"&lt;="&amp;'원본_RankAiEncounter'!L5,'원본_CardLimitBreak'!$C$2:$C$4)</x:f>
        <x:v>6</x:v>
      </x:c>
      <x:c r="M10" s="8" t="n">
        <x:f>VLOOKUP(G10,'카드성장'!$A$7:$G$46,'원본_RankAiEncounter'!G5+2,FALSE)+SUMIF('원본_CardLimitBreak'!$B$2:$B$4,"&lt;="&amp;'원본_RankAiEncounter'!M5,'원본_CardLimitBreak'!$C$2:$C$4)</x:f>
        <x:v>7</x:v>
      </x:c>
      <x:c r="N10" s="8" t="n">
        <x:f>VLOOKUP(H10,'카드성장'!$A$7:$G$46,'원본_RankAiEncounter'!H5+2,FALSE)+SUMIF('원본_CardLimitBreak'!$B$2:$B$4,"&lt;="&amp;'원본_RankAiEncounter'!N5,'원본_CardLimitBreak'!$C$2:$C$4)</x:f>
        <x:v>6</x:v>
      </x:c>
      <x:c r="O10" s="8" t="n">
        <x:f>VLOOKUP(I10,'카드성장'!$A$7:$G$46,'원본_RankAiEncounter'!I5+2,FALSE)+SUMIF('원본_CardLimitBreak'!$B$2:$B$4,"&lt;="&amp;'원본_RankAiEncounter'!O5,'원본_CardLimitBreak'!$C$2:$C$4)</x:f>
        <x:v>8</x:v>
      </x:c>
      <x:c r="P10" s="8" t="n">
        <x:f>VLOOKUP(J10,'카드성장'!$A$7:$G$46,'원본_RankAiEncounter'!J5+2,FALSE)+SUMIF('원본_CardLimitBreak'!$B$2:$B$4,"&lt;="&amp;'원본_RankAiEncounter'!P5,'원본_CardLimitBreak'!$C$2:$C$4)</x:f>
        <x:v>5</x:v>
      </x:c>
      <x:c r="Q10" s="8" t="n">
        <x:f>SUM(K10:P10)</x:f>
        <x:v>37</x:v>
      </x:c>
      <x:c r="R10" s="8"/>
    </x:row>
    <x:row r="11" ht="23" customHeight="1">
      <x:c r="A11" s="8" t="n">
        <x:f>'원본_RankAiEncounter'!B6</x:f>
        <x:v>1</x:v>
      </x:c>
      <x:c r="B11" s="8" t="str">
        <x:f>'원본_RankAiEncounter'!C6</x:f>
        <x:v>Normal</x:v>
      </x:c>
      <x:c r="C11" s="8" t="str">
        <x:f>'원본_RankAiEncounter'!D6</x:f>
        <x:v>deck_14</x:v>
      </x:c>
      <x:c r="D11" s="8" t="n">
        <x:f>MAX(1,VLOOKUP(C11,'원본_AIDeck'!$B$2:$N$47,5,FALSE))</x:f>
        <x:v>1</x:v>
      </x:c>
      <x:c r="E11" s="8" t="n">
        <x:f>VLOOKUP(C11,'원본_AIDeck'!$B$2:$N$47,8,FALSE)</x:f>
        <x:v>20</x:v>
      </x:c>
      <x:c r="F11" s="8" t="n">
        <x:f>VLOOKUP(C11,'원본_AIDeck'!$B$2:$N$47,9,FALSE)</x:f>
        <x:v>18</x:v>
      </x:c>
      <x:c r="G11" s="8" t="n">
        <x:f>VLOOKUP(C11,'원본_AIDeck'!$B$2:$N$47,10,FALSE)</x:f>
        <x:v>9</x:v>
      </x:c>
      <x:c r="H11" s="8" t="n">
        <x:f>VLOOKUP(C11,'원본_AIDeck'!$B$2:$N$47,11,FALSE)</x:f>
        <x:v>4</x:v>
      </x:c>
      <x:c r="I11" s="8" t="n">
        <x:f>VLOOKUP(C11,'원본_AIDeck'!$B$2:$N$47,12,FALSE)</x:f>
        <x:v>8</x:v>
      </x:c>
      <x:c r="J11" s="8" t="n">
        <x:f>VLOOKUP(C11,'원본_AIDeck'!$B$2:$N$47,13,FALSE)</x:f>
        <x:v>6</x:v>
      </x:c>
      <x:c r="K11" s="8" t="n">
        <x:f>VLOOKUP(E11,'카드성장'!$A$7:$G$46,'원본_RankAiEncounter'!E6+2,FALSE)+SUMIF('원본_CardLimitBreak'!$B$2:$B$4,"&lt;="&amp;'원본_RankAiEncounter'!K6,'원본_CardLimitBreak'!$C$2:$C$4)</x:f>
        <x:v>6</x:v>
      </x:c>
      <x:c r="L11" s="8" t="n">
        <x:f>VLOOKUP(F11,'카드성장'!$A$7:$G$46,'원본_RankAiEncounter'!F6+2,FALSE)+SUMIF('원본_CardLimitBreak'!$B$2:$B$4,"&lt;="&amp;'원본_RankAiEncounter'!L6,'원본_CardLimitBreak'!$C$2:$C$4)</x:f>
        <x:v>5</x:v>
      </x:c>
      <x:c r="M11" s="8" t="n">
        <x:f>VLOOKUP(G11,'카드성장'!$A$7:$G$46,'원본_RankAiEncounter'!G6+2,FALSE)+SUMIF('원본_CardLimitBreak'!$B$2:$B$4,"&lt;="&amp;'원본_RankAiEncounter'!M6,'원본_CardLimitBreak'!$C$2:$C$4)</x:f>
        <x:v>5</x:v>
      </x:c>
      <x:c r="N11" s="8" t="n">
        <x:f>VLOOKUP(H11,'카드성장'!$A$7:$G$46,'원본_RankAiEncounter'!H6+2,FALSE)+SUMIF('원본_CardLimitBreak'!$B$2:$B$4,"&lt;="&amp;'원본_RankAiEncounter'!N6,'원본_CardLimitBreak'!$C$2:$C$4)</x:f>
        <x:v>7</x:v>
      </x:c>
      <x:c r="O11" s="8" t="n">
        <x:f>VLOOKUP(I11,'카드성장'!$A$7:$G$46,'원본_RankAiEncounter'!I6+2,FALSE)+SUMIF('원본_CardLimitBreak'!$B$2:$B$4,"&lt;="&amp;'원본_RankAiEncounter'!O6,'원본_CardLimitBreak'!$C$2:$C$4)</x:f>
        <x:v>6</x:v>
      </x:c>
      <x:c r="P11" s="8" t="n">
        <x:f>VLOOKUP(J11,'카드성장'!$A$7:$G$46,'원본_RankAiEncounter'!J6+2,FALSE)+SUMIF('원본_CardLimitBreak'!$B$2:$B$4,"&lt;="&amp;'원본_RankAiEncounter'!P6,'원본_CardLimitBreak'!$C$2:$C$4)</x:f>
        <x:v>8</x:v>
      </x:c>
      <x:c r="Q11" s="8" t="n">
        <x:f>SUM(K11:P11)</x:f>
        <x:v>37</x:v>
      </x:c>
      <x:c r="R11" s="8"/>
    </x:row>
    <x:row r="12" ht="23" customHeight="1">
      <x:c r="A12" s="8" t="n">
        <x:f>'원본_RankAiEncounter'!B7</x:f>
        <x:v>2</x:v>
      </x:c>
      <x:c r="B12" s="8" t="str">
        <x:f>'원본_RankAiEncounter'!C7</x:f>
        <x:v>Normal</x:v>
      </x:c>
      <x:c r="C12" s="8" t="str">
        <x:f>'원본_RankAiEncounter'!D7</x:f>
        <x:v>deck_12</x:v>
      </x:c>
      <x:c r="D12" s="8" t="n">
        <x:f>MAX(1,VLOOKUP(C12,'원본_AIDeck'!$B$2:$N$47,5,FALSE))</x:f>
        <x:v>1</x:v>
      </x:c>
      <x:c r="E12" s="8" t="n">
        <x:f>VLOOKUP(C12,'원본_AIDeck'!$B$2:$N$47,8,FALSE)</x:f>
        <x:v>17</x:v>
      </x:c>
      <x:c r="F12" s="8" t="n">
        <x:f>VLOOKUP(C12,'원본_AIDeck'!$B$2:$N$47,9,FALSE)</x:f>
        <x:v>18</x:v>
      </x:c>
      <x:c r="G12" s="8" t="n">
        <x:f>VLOOKUP(C12,'원본_AIDeck'!$B$2:$N$47,10,FALSE)</x:f>
        <x:v>2</x:v>
      </x:c>
      <x:c r="H12" s="8" t="n">
        <x:f>VLOOKUP(C12,'원본_AIDeck'!$B$2:$N$47,11,FALSE)</x:f>
        <x:v>20</x:v>
      </x:c>
      <x:c r="I12" s="8" t="n">
        <x:f>VLOOKUP(C12,'원본_AIDeck'!$B$2:$N$47,12,FALSE)</x:f>
        <x:v>6</x:v>
      </x:c>
      <x:c r="J12" s="8" t="n">
        <x:f>VLOOKUP(C12,'원본_AIDeck'!$B$2:$N$47,13,FALSE)</x:f>
        <x:v>27</x:v>
      </x:c>
      <x:c r="K12" s="8" t="n">
        <x:f>VLOOKUP(E12,'카드성장'!$A$7:$G$46,'원본_RankAiEncounter'!E7+2,FALSE)+SUMIF('원본_CardLimitBreak'!$B$2:$B$4,"&lt;="&amp;'원본_RankAiEncounter'!K7,'원본_CardLimitBreak'!$C$2:$C$4)</x:f>
        <x:v>6</x:v>
      </x:c>
      <x:c r="L12" s="8" t="n">
        <x:f>VLOOKUP(F12,'카드성장'!$A$7:$G$46,'원본_RankAiEncounter'!F7+2,FALSE)+SUMIF('원본_CardLimitBreak'!$B$2:$B$4,"&lt;="&amp;'원본_RankAiEncounter'!L7,'원본_CardLimitBreak'!$C$2:$C$4)</x:f>
        <x:v>7</x:v>
      </x:c>
      <x:c r="M12" s="8" t="n">
        <x:f>VLOOKUP(G12,'카드성장'!$A$7:$G$46,'원본_RankAiEncounter'!G7+2,FALSE)+SUMIF('원본_CardLimitBreak'!$B$2:$B$4,"&lt;="&amp;'원본_RankAiEncounter'!M7,'원본_CardLimitBreak'!$C$2:$C$4)</x:f>
        <x:v>5</x:v>
      </x:c>
      <x:c r="N12" s="8" t="n">
        <x:f>VLOOKUP(H12,'카드성장'!$A$7:$G$46,'원본_RankAiEncounter'!H7+2,FALSE)+SUMIF('원본_CardLimitBreak'!$B$2:$B$4,"&lt;="&amp;'원본_RankAiEncounter'!N7,'원본_CardLimitBreak'!$C$2:$C$4)</x:f>
        <x:v>8</x:v>
      </x:c>
      <x:c r="O12" s="8" t="n">
        <x:f>VLOOKUP(I12,'카드성장'!$A$7:$G$46,'원본_RankAiEncounter'!I7+2,FALSE)+SUMIF('원본_CardLimitBreak'!$B$2:$B$4,"&lt;="&amp;'원본_RankAiEncounter'!O7,'원본_CardLimitBreak'!$C$2:$C$4)</x:f>
        <x:v>8</x:v>
      </x:c>
      <x:c r="P12" s="8" t="n">
        <x:f>VLOOKUP(J12,'카드성장'!$A$7:$G$46,'원본_RankAiEncounter'!J7+2,FALSE)+SUMIF('원본_CardLimitBreak'!$B$2:$B$4,"&lt;="&amp;'원본_RankAiEncounter'!P7,'원본_CardLimitBreak'!$C$2:$C$4)</x:f>
        <x:v>5</x:v>
      </x:c>
      <x:c r="Q12" s="8" t="n">
        <x:f>SUM(K12:P12)</x:f>
        <x:v>39</x:v>
      </x:c>
      <x:c r="R12" s="8"/>
    </x:row>
    <x:row r="13" ht="23" customHeight="1">
      <x:c r="A13" s="8" t="n">
        <x:f>'원본_RankAiEncounter'!B8</x:f>
        <x:v>2</x:v>
      </x:c>
      <x:c r="B13" s="8" t="str">
        <x:f>'원본_RankAiEncounter'!C8</x:f>
        <x:v>Normal</x:v>
      </x:c>
      <x:c r="C13" s="8" t="str">
        <x:f>'원본_RankAiEncounter'!D8</x:f>
        <x:v>deck_13</x:v>
      </x:c>
      <x:c r="D13" s="8" t="n">
        <x:f>MAX(1,VLOOKUP(C13,'원본_AIDeck'!$B$2:$N$47,5,FALSE))</x:f>
        <x:v>1</x:v>
      </x:c>
      <x:c r="E13" s="8" t="n">
        <x:f>VLOOKUP(C13,'원본_AIDeck'!$B$2:$N$47,8,FALSE)</x:f>
        <x:v>29</x:v>
      </x:c>
      <x:c r="F13" s="8" t="n">
        <x:f>VLOOKUP(C13,'원본_AIDeck'!$B$2:$N$47,9,FALSE)</x:f>
        <x:v>20</x:v>
      </x:c>
      <x:c r="G13" s="8" t="n">
        <x:f>VLOOKUP(C13,'원본_AIDeck'!$B$2:$N$47,10,FALSE)</x:f>
        <x:v>5</x:v>
      </x:c>
      <x:c r="H13" s="8" t="n">
        <x:f>VLOOKUP(C13,'원본_AIDeck'!$B$2:$N$47,11,FALSE)</x:f>
        <x:v>37</x:v>
      </x:c>
      <x:c r="I13" s="8" t="n">
        <x:f>VLOOKUP(C13,'원본_AIDeck'!$B$2:$N$47,12,FALSE)</x:f>
        <x:v>28</x:v>
      </x:c>
      <x:c r="J13" s="8" t="n">
        <x:f>VLOOKUP(C13,'원본_AIDeck'!$B$2:$N$47,13,FALSE)</x:f>
        <x:v>2</x:v>
      </x:c>
      <x:c r="K13" s="8" t="n">
        <x:f>VLOOKUP(E13,'카드성장'!$A$7:$G$46,'원본_RankAiEncounter'!E8+2,FALSE)+SUMIF('원본_CardLimitBreak'!$B$2:$B$4,"&lt;="&amp;'원본_RankAiEncounter'!K8,'원본_CardLimitBreak'!$C$2:$C$4)</x:f>
        <x:v>7</x:v>
      </x:c>
      <x:c r="L13" s="8" t="n">
        <x:f>VLOOKUP(F13,'카드성장'!$A$7:$G$46,'원본_RankAiEncounter'!F8+2,FALSE)+SUMIF('원본_CardLimitBreak'!$B$2:$B$4,"&lt;="&amp;'원본_RankAiEncounter'!L8,'원본_CardLimitBreak'!$C$2:$C$4)</x:f>
        <x:v>6</x:v>
      </x:c>
      <x:c r="M13" s="8" t="n">
        <x:f>VLOOKUP(G13,'카드성장'!$A$7:$G$46,'원본_RankAiEncounter'!G8+2,FALSE)+SUMIF('원본_CardLimitBreak'!$B$2:$B$4,"&lt;="&amp;'원본_RankAiEncounter'!M8,'원본_CardLimitBreak'!$C$2:$C$4)</x:f>
        <x:v>9</x:v>
      </x:c>
      <x:c r="N13" s="8" t="n">
        <x:f>VLOOKUP(H13,'카드성장'!$A$7:$G$46,'원본_RankAiEncounter'!H8+2,FALSE)+SUMIF('원본_CardLimitBreak'!$B$2:$B$4,"&lt;="&amp;'원본_RankAiEncounter'!N8,'원본_CardLimitBreak'!$C$2:$C$4)</x:f>
        <x:v>8</x:v>
      </x:c>
      <x:c r="O13" s="8" t="n">
        <x:f>VLOOKUP(I13,'카드성장'!$A$7:$G$46,'원본_RankAiEncounter'!I8+2,FALSE)+SUMIF('원본_CardLimitBreak'!$B$2:$B$4,"&lt;="&amp;'원본_RankAiEncounter'!O8,'원본_CardLimitBreak'!$C$2:$C$4)</x:f>
        <x:v>10</x:v>
      </x:c>
      <x:c r="P13" s="8" t="n">
        <x:f>VLOOKUP(J13,'카드성장'!$A$7:$G$46,'원본_RankAiEncounter'!J8+2,FALSE)+SUMIF('원본_CardLimitBreak'!$B$2:$B$4,"&lt;="&amp;'원본_RankAiEncounter'!P8,'원본_CardLimitBreak'!$C$2:$C$4)</x:f>
        <x:v>5</x:v>
      </x:c>
      <x:c r="Q13" s="8" t="n">
        <x:f>SUM(K13:P13)</x:f>
        <x:v>45</x:v>
      </x:c>
      <x:c r="R13" s="8"/>
    </x:row>
    <x:row r="14" ht="23" customHeight="1">
      <x:c r="A14" s="8" t="n">
        <x:f>'원본_RankAiEncounter'!B9</x:f>
        <x:v>2</x:v>
      </x:c>
      <x:c r="B14" s="8" t="str">
        <x:f>'원본_RankAiEncounter'!C9</x:f>
        <x:v>Normal</x:v>
      </x:c>
      <x:c r="C14" s="8" t="str">
        <x:f>'원본_RankAiEncounter'!D9</x:f>
        <x:v>deck_14</x:v>
      </x:c>
      <x:c r="D14" s="8" t="n">
        <x:f>MAX(1,VLOOKUP(C14,'원본_AIDeck'!$B$2:$N$47,5,FALSE))</x:f>
        <x:v>1</x:v>
      </x:c>
      <x:c r="E14" s="8" t="n">
        <x:f>VLOOKUP(C14,'원본_AIDeck'!$B$2:$N$47,8,FALSE)</x:f>
        <x:v>20</x:v>
      </x:c>
      <x:c r="F14" s="8" t="n">
        <x:f>VLOOKUP(C14,'원본_AIDeck'!$B$2:$N$47,9,FALSE)</x:f>
        <x:v>18</x:v>
      </x:c>
      <x:c r="G14" s="8" t="n">
        <x:f>VLOOKUP(C14,'원본_AIDeck'!$B$2:$N$47,10,FALSE)</x:f>
        <x:v>9</x:v>
      </x:c>
      <x:c r="H14" s="8" t="n">
        <x:f>VLOOKUP(C14,'원본_AIDeck'!$B$2:$N$47,11,FALSE)</x:f>
        <x:v>4</x:v>
      </x:c>
      <x:c r="I14" s="8" t="n">
        <x:f>VLOOKUP(C14,'원본_AIDeck'!$B$2:$N$47,12,FALSE)</x:f>
        <x:v>8</x:v>
      </x:c>
      <x:c r="J14" s="8" t="n">
        <x:f>VLOOKUP(C14,'원본_AIDeck'!$B$2:$N$47,13,FALSE)</x:f>
        <x:v>6</x:v>
      </x:c>
      <x:c r="K14" s="8" t="n">
        <x:f>VLOOKUP(E14,'카드성장'!$A$7:$G$46,'원본_RankAiEncounter'!E9+2,FALSE)+SUMIF('원본_CardLimitBreak'!$B$2:$B$4,"&lt;="&amp;'원본_RankAiEncounter'!K9,'원본_CardLimitBreak'!$C$2:$C$4)</x:f>
        <x:v>8</x:v>
      </x:c>
      <x:c r="L14" s="8" t="n">
        <x:f>VLOOKUP(F14,'카드성장'!$A$7:$G$46,'원본_RankAiEncounter'!F9+2,FALSE)+SUMIF('원본_CardLimitBreak'!$B$2:$B$4,"&lt;="&amp;'원본_RankAiEncounter'!L9,'원본_CardLimitBreak'!$C$2:$C$4)</x:f>
        <x:v>5</x:v>
      </x:c>
      <x:c r="M14" s="8" t="n">
        <x:f>VLOOKUP(G14,'카드성장'!$A$7:$G$46,'원본_RankAiEncounter'!G9+2,FALSE)+SUMIF('원본_CardLimitBreak'!$B$2:$B$4,"&lt;="&amp;'원본_RankAiEncounter'!M9,'원본_CardLimitBreak'!$C$2:$C$4)</x:f>
        <x:v>7</x:v>
      </x:c>
      <x:c r="N14" s="8" t="n">
        <x:f>VLOOKUP(H14,'카드성장'!$A$7:$G$46,'원본_RankAiEncounter'!H9+2,FALSE)+SUMIF('원본_CardLimitBreak'!$B$2:$B$4,"&lt;="&amp;'원본_RankAiEncounter'!N9,'원본_CardLimitBreak'!$C$2:$C$4)</x:f>
        <x:v>9</x:v>
      </x:c>
      <x:c r="O14" s="8" t="n">
        <x:f>VLOOKUP(I14,'카드성장'!$A$7:$G$46,'원본_RankAiEncounter'!I9+2,FALSE)+SUMIF('원본_CardLimitBreak'!$B$2:$B$4,"&lt;="&amp;'원본_RankAiEncounter'!O9,'원본_CardLimitBreak'!$C$2:$C$4)</x:f>
        <x:v>8</x:v>
      </x:c>
      <x:c r="P14" s="8" t="n">
        <x:f>VLOOKUP(J14,'카드성장'!$A$7:$G$46,'원본_RankAiEncounter'!J9+2,FALSE)+SUMIF('원본_CardLimitBreak'!$B$2:$B$4,"&lt;="&amp;'원본_RankAiEncounter'!P9,'원본_CardLimitBreak'!$C$2:$C$4)</x:f>
        <x:v>8</x:v>
      </x:c>
      <x:c r="Q14" s="8" t="n">
        <x:f>SUM(K14:P14)</x:f>
        <x:v>45</x:v>
      </x:c>
      <x:c r="R14" s="8"/>
    </x:row>
    <x:row r="15" ht="23" customHeight="1">
      <x:c r="A15" s="8" t="n">
        <x:f>'원본_RankAiEncounter'!B10</x:f>
        <x:v>3</x:v>
      </x:c>
      <x:c r="B15" s="8" t="str">
        <x:f>'원본_RankAiEncounter'!C10</x:f>
        <x:v>Normal</x:v>
      </x:c>
      <x:c r="C15" s="8" t="str">
        <x:f>'원본_RankAiEncounter'!D10</x:f>
        <x:v>deck_12</x:v>
      </x:c>
      <x:c r="D15" s="8" t="n">
        <x:f>MAX(1,VLOOKUP(C15,'원본_AIDeck'!$B$2:$N$47,5,FALSE))</x:f>
        <x:v>1</x:v>
      </x:c>
      <x:c r="E15" s="8" t="n">
        <x:f>VLOOKUP(C15,'원본_AIDeck'!$B$2:$N$47,8,FALSE)</x:f>
        <x:v>17</x:v>
      </x:c>
      <x:c r="F15" s="8" t="n">
        <x:f>VLOOKUP(C15,'원본_AIDeck'!$B$2:$N$47,9,FALSE)</x:f>
        <x:v>18</x:v>
      </x:c>
      <x:c r="G15" s="8" t="n">
        <x:f>VLOOKUP(C15,'원본_AIDeck'!$B$2:$N$47,10,FALSE)</x:f>
        <x:v>2</x:v>
      </x:c>
      <x:c r="H15" s="8" t="n">
        <x:f>VLOOKUP(C15,'원본_AIDeck'!$B$2:$N$47,11,FALSE)</x:f>
        <x:v>20</x:v>
      </x:c>
      <x:c r="I15" s="8" t="n">
        <x:f>VLOOKUP(C15,'원본_AIDeck'!$B$2:$N$47,12,FALSE)</x:f>
        <x:v>6</x:v>
      </x:c>
      <x:c r="J15" s="8" t="n">
        <x:f>VLOOKUP(C15,'원본_AIDeck'!$B$2:$N$47,13,FALSE)</x:f>
        <x:v>27</x:v>
      </x:c>
      <x:c r="K15" s="8" t="n">
        <x:f>VLOOKUP(E15,'카드성장'!$A$7:$G$46,'원본_RankAiEncounter'!E10+2,FALSE)+SUMIF('원본_CardLimitBreak'!$B$2:$B$4,"&lt;="&amp;'원본_RankAiEncounter'!K10,'원본_CardLimitBreak'!$C$2:$C$4)</x:f>
        <x:v>6</x:v>
      </x:c>
      <x:c r="L15" s="8" t="n">
        <x:f>VLOOKUP(F15,'카드성장'!$A$7:$G$46,'원본_RankAiEncounter'!F10+2,FALSE)+SUMIF('원본_CardLimitBreak'!$B$2:$B$4,"&lt;="&amp;'원본_RankAiEncounter'!L10,'원본_CardLimitBreak'!$C$2:$C$4)</x:f>
        <x:v>7</x:v>
      </x:c>
      <x:c r="M15" s="8" t="n">
        <x:f>VLOOKUP(G15,'카드성장'!$A$7:$G$46,'원본_RankAiEncounter'!G10+2,FALSE)+SUMIF('원본_CardLimitBreak'!$B$2:$B$4,"&lt;="&amp;'원본_RankAiEncounter'!M10,'원본_CardLimitBreak'!$C$2:$C$4)</x:f>
        <x:v>7</x:v>
      </x:c>
      <x:c r="N15" s="8" t="n">
        <x:f>VLOOKUP(H15,'카드성장'!$A$7:$G$46,'원본_RankAiEncounter'!H10+2,FALSE)+SUMIF('원본_CardLimitBreak'!$B$2:$B$4,"&lt;="&amp;'원본_RankAiEncounter'!N10,'원본_CardLimitBreak'!$C$2:$C$4)</x:f>
        <x:v>8</x:v>
      </x:c>
      <x:c r="O15" s="8" t="n">
        <x:f>VLOOKUP(I15,'카드성장'!$A$7:$G$46,'원본_RankAiEncounter'!I10+2,FALSE)+SUMIF('원본_CardLimitBreak'!$B$2:$B$4,"&lt;="&amp;'원본_RankAiEncounter'!O10,'원본_CardLimitBreak'!$C$2:$C$4)</x:f>
        <x:v>10</x:v>
      </x:c>
      <x:c r="P15" s="8" t="n">
        <x:f>VLOOKUP(J15,'카드성장'!$A$7:$G$46,'원본_RankAiEncounter'!J10+2,FALSE)+SUMIF('원본_CardLimitBreak'!$B$2:$B$4,"&lt;="&amp;'원본_RankAiEncounter'!P10,'원본_CardLimitBreak'!$C$2:$C$4)</x:f>
        <x:v>7</x:v>
      </x:c>
      <x:c r="Q15" s="8" t="n">
        <x:f>SUM(K15:P15)</x:f>
        <x:v>45</x:v>
      </x:c>
      <x:c r="R15" s="8"/>
    </x:row>
    <x:row r="16" ht="23" customHeight="1">
      <x:c r="A16" s="8" t="n">
        <x:f>'원본_RankAiEncounter'!B11</x:f>
        <x:v>3</x:v>
      </x:c>
      <x:c r="B16" s="8" t="str">
        <x:f>'원본_RankAiEncounter'!C11</x:f>
        <x:v>Normal</x:v>
      </x:c>
      <x:c r="C16" s="8" t="str">
        <x:f>'원본_RankAiEncounter'!D11</x:f>
        <x:v>deck_13</x:v>
      </x:c>
      <x:c r="D16" s="8" t="n">
        <x:f>MAX(1,VLOOKUP(C16,'원본_AIDeck'!$B$2:$N$47,5,FALSE))</x:f>
        <x:v>1</x:v>
      </x:c>
      <x:c r="E16" s="8" t="n">
        <x:f>VLOOKUP(C16,'원본_AIDeck'!$B$2:$N$47,8,FALSE)</x:f>
        <x:v>29</x:v>
      </x:c>
      <x:c r="F16" s="8" t="n">
        <x:f>VLOOKUP(C16,'원본_AIDeck'!$B$2:$N$47,9,FALSE)</x:f>
        <x:v>20</x:v>
      </x:c>
      <x:c r="G16" s="8" t="n">
        <x:f>VLOOKUP(C16,'원본_AIDeck'!$B$2:$N$47,10,FALSE)</x:f>
        <x:v>5</x:v>
      </x:c>
      <x:c r="H16" s="8" t="n">
        <x:f>VLOOKUP(C16,'원본_AIDeck'!$B$2:$N$47,11,FALSE)</x:f>
        <x:v>37</x:v>
      </x:c>
      <x:c r="I16" s="8" t="n">
        <x:f>VLOOKUP(C16,'원본_AIDeck'!$B$2:$N$47,12,FALSE)</x:f>
        <x:v>28</x:v>
      </x:c>
      <x:c r="J16" s="8" t="n">
        <x:f>VLOOKUP(C16,'원본_AIDeck'!$B$2:$N$47,13,FALSE)</x:f>
        <x:v>2</x:v>
      </x:c>
      <x:c r="K16" s="8" t="n">
        <x:f>VLOOKUP(E16,'카드성장'!$A$7:$G$46,'원본_RankAiEncounter'!E11+2,FALSE)+SUMIF('원본_CardLimitBreak'!$B$2:$B$4,"&lt;="&amp;'원본_RankAiEncounter'!K11,'원본_CardLimitBreak'!$C$2:$C$4)</x:f>
        <x:v>7</x:v>
      </x:c>
      <x:c r="L16" s="8" t="n">
        <x:f>VLOOKUP(F16,'카드성장'!$A$7:$G$46,'원본_RankAiEncounter'!F11+2,FALSE)+SUMIF('원본_CardLimitBreak'!$B$2:$B$4,"&lt;="&amp;'원본_RankAiEncounter'!L11,'원본_CardLimitBreak'!$C$2:$C$4)</x:f>
        <x:v>8</x:v>
      </x:c>
      <x:c r="M16" s="8" t="n">
        <x:f>VLOOKUP(G16,'카드성장'!$A$7:$G$46,'원본_RankAiEncounter'!G11+2,FALSE)+SUMIF('원본_CardLimitBreak'!$B$2:$B$4,"&lt;="&amp;'원본_RankAiEncounter'!M11,'원본_CardLimitBreak'!$C$2:$C$4)</x:f>
        <x:v>9</x:v>
      </x:c>
      <x:c r="N16" s="8" t="n">
        <x:f>VLOOKUP(H16,'카드성장'!$A$7:$G$46,'원본_RankAiEncounter'!H11+2,FALSE)+SUMIF('원본_CardLimitBreak'!$B$2:$B$4,"&lt;="&amp;'원본_RankAiEncounter'!N11,'원본_CardLimitBreak'!$C$2:$C$4)</x:f>
        <x:v>8</x:v>
      </x:c>
      <x:c r="O16" s="8" t="n">
        <x:f>VLOOKUP(I16,'카드성장'!$A$7:$G$46,'원본_RankAiEncounter'!I11+2,FALSE)+SUMIF('원본_CardLimitBreak'!$B$2:$B$4,"&lt;="&amp;'원본_RankAiEncounter'!O11,'원본_CardLimitBreak'!$C$2:$C$4)</x:f>
        <x:v>10</x:v>
      </x:c>
      <x:c r="P16" s="8" t="n">
        <x:f>VLOOKUP(J16,'카드성장'!$A$7:$G$46,'원본_RankAiEncounter'!J11+2,FALSE)+SUMIF('원본_CardLimitBreak'!$B$2:$B$4,"&lt;="&amp;'원본_RankAiEncounter'!P11,'원본_CardLimitBreak'!$C$2:$C$4)</x:f>
        <x:v>7</x:v>
      </x:c>
      <x:c r="Q16" s="8" t="n">
        <x:f>SUM(K16:P16)</x:f>
        <x:v>49</x:v>
      </x:c>
      <x:c r="R16" s="8"/>
    </x:row>
    <x:row r="17" ht="23" customHeight="1">
      <x:c r="A17" s="8" t="n">
        <x:f>'원본_RankAiEncounter'!B12</x:f>
        <x:v>3</x:v>
      </x:c>
      <x:c r="B17" s="8" t="str">
        <x:f>'원본_RankAiEncounter'!C12</x:f>
        <x:v>Normal</x:v>
      </x:c>
      <x:c r="C17" s="8" t="str">
        <x:f>'원본_RankAiEncounter'!D12</x:f>
        <x:v>deck_14</x:v>
      </x:c>
      <x:c r="D17" s="8" t="n">
        <x:f>MAX(1,VLOOKUP(C17,'원본_AIDeck'!$B$2:$N$47,5,FALSE))</x:f>
        <x:v>1</x:v>
      </x:c>
      <x:c r="E17" s="8" t="n">
        <x:f>VLOOKUP(C17,'원본_AIDeck'!$B$2:$N$47,8,FALSE)</x:f>
        <x:v>20</x:v>
      </x:c>
      <x:c r="F17" s="8" t="n">
        <x:f>VLOOKUP(C17,'원본_AIDeck'!$B$2:$N$47,9,FALSE)</x:f>
        <x:v>18</x:v>
      </x:c>
      <x:c r="G17" s="8" t="n">
        <x:f>VLOOKUP(C17,'원본_AIDeck'!$B$2:$N$47,10,FALSE)</x:f>
        <x:v>9</x:v>
      </x:c>
      <x:c r="H17" s="8" t="n">
        <x:f>VLOOKUP(C17,'원본_AIDeck'!$B$2:$N$47,11,FALSE)</x:f>
        <x:v>4</x:v>
      </x:c>
      <x:c r="I17" s="8" t="n">
        <x:f>VLOOKUP(C17,'원본_AIDeck'!$B$2:$N$47,12,FALSE)</x:f>
        <x:v>8</x:v>
      </x:c>
      <x:c r="J17" s="8" t="n">
        <x:f>VLOOKUP(C17,'원본_AIDeck'!$B$2:$N$47,13,FALSE)</x:f>
        <x:v>6</x:v>
      </x:c>
      <x:c r="K17" s="8" t="n">
        <x:f>VLOOKUP(E17,'카드성장'!$A$7:$G$46,'원본_RankAiEncounter'!E12+2,FALSE)+SUMIF('원본_CardLimitBreak'!$B$2:$B$4,"&lt;="&amp;'원본_RankAiEncounter'!K12,'원본_CardLimitBreak'!$C$2:$C$4)</x:f>
        <x:v>8</x:v>
      </x:c>
      <x:c r="L17" s="8" t="n">
        <x:f>VLOOKUP(F17,'카드성장'!$A$7:$G$46,'원본_RankAiEncounter'!F12+2,FALSE)+SUMIF('원본_CardLimitBreak'!$B$2:$B$4,"&lt;="&amp;'원본_RankAiEncounter'!L12,'원본_CardLimitBreak'!$C$2:$C$4)</x:f>
        <x:v>7</x:v>
      </x:c>
      <x:c r="M17" s="8" t="n">
        <x:f>VLOOKUP(G17,'카드성장'!$A$7:$G$46,'원본_RankAiEncounter'!G12+2,FALSE)+SUMIF('원본_CardLimitBreak'!$B$2:$B$4,"&lt;="&amp;'원본_RankAiEncounter'!M12,'원본_CardLimitBreak'!$C$2:$C$4)</x:f>
        <x:v>7</x:v>
      </x:c>
      <x:c r="N17" s="8" t="n">
        <x:f>VLOOKUP(H17,'카드성장'!$A$7:$G$46,'원본_RankAiEncounter'!H12+2,FALSE)+SUMIF('원본_CardLimitBreak'!$B$2:$B$4,"&lt;="&amp;'원본_RankAiEncounter'!N12,'원본_CardLimitBreak'!$C$2:$C$4)</x:f>
        <x:v>9</x:v>
      </x:c>
      <x:c r="O17" s="8" t="n">
        <x:f>VLOOKUP(I17,'카드성장'!$A$7:$G$46,'원본_RankAiEncounter'!I12+2,FALSE)+SUMIF('원본_CardLimitBreak'!$B$2:$B$4,"&lt;="&amp;'원본_RankAiEncounter'!O12,'원본_CardLimitBreak'!$C$2:$C$4)</x:f>
        <x:v>8</x:v>
      </x:c>
      <x:c r="P17" s="8" t="n">
        <x:f>VLOOKUP(J17,'카드성장'!$A$7:$G$46,'원본_RankAiEncounter'!J12+2,FALSE)+SUMIF('원본_CardLimitBreak'!$B$2:$B$4,"&lt;="&amp;'원본_RankAiEncounter'!P12,'원본_CardLimitBreak'!$C$2:$C$4)</x:f>
        <x:v>10</x:v>
      </x:c>
      <x:c r="Q17" s="8" t="n">
        <x:f>SUM(K17:P17)</x:f>
        <x:v>49</x:v>
      </x:c>
      <x:c r="R17" s="8"/>
    </x:row>
    <x:row r="18" ht="23" customHeight="1">
      <x:c r="A18" s="8" t="n">
        <x:f>'원본_RankAiEncounter'!B13</x:f>
        <x:v>3</x:v>
      </x:c>
      <x:c r="B18" s="8" t="str">
        <x:f>'원본_RankAiEncounter'!C13</x:f>
        <x:v>Normal</x:v>
      </x:c>
      <x:c r="C18" s="8" t="str">
        <x:f>'원본_RankAiEncounter'!D13</x:f>
        <x:v>deck_15</x:v>
      </x:c>
      <x:c r="D18" s="8" t="n">
        <x:f>MAX(1,VLOOKUP(C18,'원본_AIDeck'!$B$2:$N$47,5,FALSE))</x:f>
        <x:v>1</x:v>
      </x:c>
      <x:c r="E18" s="8" t="n">
        <x:f>VLOOKUP(C18,'원본_AIDeck'!$B$2:$N$47,8,FALSE)</x:f>
        <x:v>19</x:v>
      </x:c>
      <x:c r="F18" s="8" t="n">
        <x:f>VLOOKUP(C18,'원본_AIDeck'!$B$2:$N$47,9,FALSE)</x:f>
        <x:v>13</x:v>
      </x:c>
      <x:c r="G18" s="8" t="n">
        <x:f>VLOOKUP(C18,'원본_AIDeck'!$B$2:$N$47,10,FALSE)</x:f>
        <x:v>20</x:v>
      </x:c>
      <x:c r="H18" s="8" t="n">
        <x:f>VLOOKUP(C18,'원본_AIDeck'!$B$2:$N$47,11,FALSE)</x:f>
        <x:v>25</x:v>
      </x:c>
      <x:c r="I18" s="8" t="n">
        <x:f>VLOOKUP(C18,'원본_AIDeck'!$B$2:$N$47,12,FALSE)</x:f>
        <x:v>6</x:v>
      </x:c>
      <x:c r="J18" s="8" t="n">
        <x:f>VLOOKUP(C18,'원본_AIDeck'!$B$2:$N$47,13,FALSE)</x:f>
        <x:v>3</x:v>
      </x:c>
      <x:c r="K18" s="8" t="n">
        <x:f>VLOOKUP(E18,'카드성장'!$A$7:$G$46,'원본_RankAiEncounter'!E13+2,FALSE)+SUMIF('원본_CardLimitBreak'!$B$2:$B$4,"&lt;="&amp;'원본_RankAiEncounter'!K13,'원본_CardLimitBreak'!$C$2:$C$4)</x:f>
        <x:v>7</x:v>
      </x:c>
      <x:c r="L18" s="8" t="n">
        <x:f>VLOOKUP(F18,'카드성장'!$A$7:$G$46,'원본_RankAiEncounter'!F13+2,FALSE)+SUMIF('원본_CardLimitBreak'!$B$2:$B$4,"&lt;="&amp;'원본_RankAiEncounter'!L13,'원본_CardLimitBreak'!$C$2:$C$4)</x:f>
        <x:v>9</x:v>
      </x:c>
      <x:c r="M18" s="8" t="n">
        <x:f>VLOOKUP(G18,'카드성장'!$A$7:$G$46,'원본_RankAiEncounter'!G13+2,FALSE)+SUMIF('원본_CardLimitBreak'!$B$2:$B$4,"&lt;="&amp;'원본_RankAiEncounter'!M13,'원본_CardLimitBreak'!$C$2:$C$4)</x:f>
        <x:v>8</x:v>
      </x:c>
      <x:c r="N18" s="8" t="n">
        <x:f>VLOOKUP(H18,'카드성장'!$A$7:$G$46,'원본_RankAiEncounter'!H13+2,FALSE)+SUMIF('원본_CardLimitBreak'!$B$2:$B$4,"&lt;="&amp;'원본_RankAiEncounter'!N13,'원본_CardLimitBreak'!$C$2:$C$4)</x:f>
        <x:v>9</x:v>
      </x:c>
      <x:c r="O18" s="8" t="n">
        <x:f>VLOOKUP(I18,'카드성장'!$A$7:$G$46,'원본_RankAiEncounter'!I13+2,FALSE)+SUMIF('원본_CardLimitBreak'!$B$2:$B$4,"&lt;="&amp;'원본_RankAiEncounter'!O13,'원본_CardLimitBreak'!$C$2:$C$4)</x:f>
        <x:v>10</x:v>
      </x:c>
      <x:c r="P18" s="8" t="n">
        <x:f>VLOOKUP(J18,'카드성장'!$A$7:$G$46,'원본_RankAiEncounter'!J13+2,FALSE)+SUMIF('원본_CardLimitBreak'!$B$2:$B$4,"&lt;="&amp;'원본_RankAiEncounter'!P13,'원본_CardLimitBreak'!$C$2:$C$4)</x:f>
        <x:v>6</x:v>
      </x:c>
      <x:c r="Q18" s="8" t="n">
        <x:f>SUM(K18:P18)</x:f>
        <x:v>49</x:v>
      </x:c>
      <x:c r="R18" s="8"/>
    </x:row>
    <x:row r="19" ht="23" customHeight="1">
      <x:c r="A19" s="8" t="n">
        <x:f>'원본_RankAiEncounter'!B14</x:f>
        <x:v>3</x:v>
      </x:c>
      <x:c r="B19" s="8" t="str">
        <x:f>'원본_RankAiEncounter'!C14</x:f>
        <x:v>Normal</x:v>
      </x:c>
      <x:c r="C19" s="8" t="str">
        <x:f>'원본_RankAiEncounter'!D14</x:f>
        <x:v>deck_16</x:v>
      </x:c>
      <x:c r="D19" s="8" t="n">
        <x:f>MAX(1,VLOOKUP(C19,'원본_AIDeck'!$B$2:$N$47,5,FALSE))</x:f>
        <x:v>1</x:v>
      </x:c>
      <x:c r="E19" s="8" t="n">
        <x:f>VLOOKUP(C19,'원본_AIDeck'!$B$2:$N$47,8,FALSE)</x:f>
        <x:v>4</x:v>
      </x:c>
      <x:c r="F19" s="8" t="n">
        <x:f>VLOOKUP(C19,'원본_AIDeck'!$B$2:$N$47,9,FALSE)</x:f>
        <x:v>1</x:v>
      </x:c>
      <x:c r="G19" s="8" t="n">
        <x:f>VLOOKUP(C19,'원본_AIDeck'!$B$2:$N$47,10,FALSE)</x:f>
        <x:v>3</x:v>
      </x:c>
      <x:c r="H19" s="8" t="n">
        <x:f>VLOOKUP(C19,'원본_AIDeck'!$B$2:$N$47,11,FALSE)</x:f>
        <x:v>2</x:v>
      </x:c>
      <x:c r="I19" s="8" t="n">
        <x:f>VLOOKUP(C19,'원본_AIDeck'!$B$2:$N$47,12,FALSE)</x:f>
        <x:v>20</x:v>
      </x:c>
      <x:c r="J19" s="8" t="n">
        <x:f>VLOOKUP(C19,'원본_AIDeck'!$B$2:$N$47,13,FALSE)</x:f>
        <x:v>7</x:v>
      </x:c>
      <x:c r="K19" s="8" t="n">
        <x:f>VLOOKUP(E19,'카드성장'!$A$7:$G$46,'원본_RankAiEncounter'!E14+2,FALSE)+SUMIF('원본_CardLimitBreak'!$B$2:$B$4,"&lt;="&amp;'원본_RankAiEncounter'!K14,'원본_CardLimitBreak'!$C$2:$C$4)</x:f>
        <x:v>9</x:v>
      </x:c>
      <x:c r="L19" s="8" t="n">
        <x:f>VLOOKUP(F19,'카드성장'!$A$7:$G$46,'원본_RankAiEncounter'!F14+2,FALSE)+SUMIF('원본_CardLimitBreak'!$B$2:$B$4,"&lt;="&amp;'원본_RankAiEncounter'!L14,'원본_CardLimitBreak'!$C$2:$C$4)</x:f>
        <x:v>6</x:v>
      </x:c>
      <x:c r="M19" s="8" t="n">
        <x:f>VLOOKUP(G19,'카드성장'!$A$7:$G$46,'원본_RankAiEncounter'!G14+2,FALSE)+SUMIF('원본_CardLimitBreak'!$B$2:$B$4,"&lt;="&amp;'원본_RankAiEncounter'!M14,'원본_CardLimitBreak'!$C$2:$C$4)</x:f>
        <x:v>6</x:v>
      </x:c>
      <x:c r="N19" s="8" t="n">
        <x:f>VLOOKUP(H19,'카드성장'!$A$7:$G$46,'원본_RankAiEncounter'!H14+2,FALSE)+SUMIF('원본_CardLimitBreak'!$B$2:$B$4,"&lt;="&amp;'원본_RankAiEncounter'!N14,'원본_CardLimitBreak'!$C$2:$C$4)</x:f>
        <x:v>7</x:v>
      </x:c>
      <x:c r="O19" s="8" t="n">
        <x:f>VLOOKUP(I19,'카드성장'!$A$7:$G$46,'원본_RankAiEncounter'!I14+2,FALSE)+SUMIF('원본_CardLimitBreak'!$B$2:$B$4,"&lt;="&amp;'원본_RankAiEncounter'!O14,'원본_CardLimitBreak'!$C$2:$C$4)</x:f>
        <x:v>8</x:v>
      </x:c>
      <x:c r="P19" s="8" t="n">
        <x:f>VLOOKUP(J19,'카드성장'!$A$7:$G$46,'원본_RankAiEncounter'!J14+2,FALSE)+SUMIF('원본_CardLimitBreak'!$B$2:$B$4,"&lt;="&amp;'원본_RankAiEncounter'!P14,'원본_CardLimitBreak'!$C$2:$C$4)</x:f>
        <x:v>9</x:v>
      </x:c>
      <x:c r="Q19" s="8" t="n">
        <x:f>SUM(K19:P19)</x:f>
        <x:v>45</x:v>
      </x:c>
      <x:c r="R19" s="8"/>
    </x:row>
    <x:row r="20" ht="23" customHeight="1">
      <x:c r="A20" s="8" t="n">
        <x:f>'원본_RankAiEncounter'!B15</x:f>
        <x:v>4</x:v>
      </x:c>
      <x:c r="B20" s="8" t="str">
        <x:f>'원본_RankAiEncounter'!C15</x:f>
        <x:v>Normal</x:v>
      </x:c>
      <x:c r="C20" s="8" t="str">
        <x:f>'원본_RankAiEncounter'!D15</x:f>
        <x:v>deck_12</x:v>
      </x:c>
      <x:c r="D20" s="8" t="n">
        <x:f>MAX(1,VLOOKUP(C20,'원본_AIDeck'!$B$2:$N$47,5,FALSE))</x:f>
        <x:v>1</x:v>
      </x:c>
      <x:c r="E20" s="8" t="n">
        <x:f>VLOOKUP(C20,'원본_AIDeck'!$B$2:$N$47,8,FALSE)</x:f>
        <x:v>17</x:v>
      </x:c>
      <x:c r="F20" s="8" t="n">
        <x:f>VLOOKUP(C20,'원본_AIDeck'!$B$2:$N$47,9,FALSE)</x:f>
        <x:v>18</x:v>
      </x:c>
      <x:c r="G20" s="8" t="n">
        <x:f>VLOOKUP(C20,'원본_AIDeck'!$B$2:$N$47,10,FALSE)</x:f>
        <x:v>2</x:v>
      </x:c>
      <x:c r="H20" s="8" t="n">
        <x:f>VLOOKUP(C20,'원본_AIDeck'!$B$2:$N$47,11,FALSE)</x:f>
        <x:v>20</x:v>
      </x:c>
      <x:c r="I20" s="8" t="n">
        <x:f>VLOOKUP(C20,'원본_AIDeck'!$B$2:$N$47,12,FALSE)</x:f>
        <x:v>6</x:v>
      </x:c>
      <x:c r="J20" s="8" t="n">
        <x:f>VLOOKUP(C20,'원본_AIDeck'!$B$2:$N$47,13,FALSE)</x:f>
        <x:v>27</x:v>
      </x:c>
      <x:c r="K20" s="8" t="n">
        <x:f>VLOOKUP(E20,'카드성장'!$A$7:$G$46,'원본_RankAiEncounter'!E15+2,FALSE)+SUMIF('원본_CardLimitBreak'!$B$2:$B$4,"&lt;="&amp;'원본_RankAiEncounter'!K15,'원본_CardLimitBreak'!$C$2:$C$4)</x:f>
        <x:v>15</x:v>
      </x:c>
      <x:c r="L20" s="8" t="n">
        <x:f>VLOOKUP(F20,'카드성장'!$A$7:$G$46,'원본_RankAiEncounter'!F15+2,FALSE)+SUMIF('원본_CardLimitBreak'!$B$2:$B$4,"&lt;="&amp;'원본_RankAiEncounter'!L15,'원본_CardLimitBreak'!$C$2:$C$4)</x:f>
        <x:v>14</x:v>
      </x:c>
      <x:c r="M20" s="8" t="n">
        <x:f>VLOOKUP(G20,'카드성장'!$A$7:$G$46,'원본_RankAiEncounter'!G15+2,FALSE)+SUMIF('원본_CardLimitBreak'!$B$2:$B$4,"&lt;="&amp;'원본_RankAiEncounter'!M15,'원본_CardLimitBreak'!$C$2:$C$4)</x:f>
        <x:v>7</x:v>
      </x:c>
      <x:c r="N20" s="8" t="n">
        <x:f>VLOOKUP(H20,'카드성장'!$A$7:$G$46,'원본_RankAiEncounter'!H15+2,FALSE)+SUMIF('원본_CardLimitBreak'!$B$2:$B$4,"&lt;="&amp;'원본_RankAiEncounter'!N15,'원본_CardLimitBreak'!$C$2:$C$4)</x:f>
        <x:v>8</x:v>
      </x:c>
      <x:c r="O20" s="8" t="n">
        <x:f>VLOOKUP(I20,'카드성장'!$A$7:$G$46,'원본_RankAiEncounter'!I15+2,FALSE)+SUMIF('원본_CardLimitBreak'!$B$2:$B$4,"&lt;="&amp;'원본_RankAiEncounter'!O15,'원본_CardLimitBreak'!$C$2:$C$4)</x:f>
        <x:v>10</x:v>
      </x:c>
      <x:c r="P20" s="8" t="n">
        <x:f>VLOOKUP(J20,'카드성장'!$A$7:$G$46,'원본_RankAiEncounter'!J15+2,FALSE)+SUMIF('원본_CardLimitBreak'!$B$2:$B$4,"&lt;="&amp;'원본_RankAiEncounter'!P15,'원본_CardLimitBreak'!$C$2:$C$4)</x:f>
        <x:v>7</x:v>
      </x:c>
      <x:c r="Q20" s="8" t="n">
        <x:f>SUM(K20:P20)</x:f>
        <x:v>61</x:v>
      </x:c>
      <x:c r="R20" s="8"/>
    </x:row>
    <x:row r="21" ht="23" customHeight="1">
      <x:c r="A21" s="8" t="n">
        <x:f>'원본_RankAiEncounter'!B16</x:f>
        <x:v>4</x:v>
      </x:c>
      <x:c r="B21" s="8" t="str">
        <x:f>'원본_RankAiEncounter'!C16</x:f>
        <x:v>Normal</x:v>
      </x:c>
      <x:c r="C21" s="8" t="str">
        <x:f>'원본_RankAiEncounter'!D16</x:f>
        <x:v>deck_13</x:v>
      </x:c>
      <x:c r="D21" s="8" t="n">
        <x:f>MAX(1,VLOOKUP(C21,'원본_AIDeck'!$B$2:$N$47,5,FALSE))</x:f>
        <x:v>1</x:v>
      </x:c>
      <x:c r="E21" s="8" t="n">
        <x:f>VLOOKUP(C21,'원본_AIDeck'!$B$2:$N$47,8,FALSE)</x:f>
        <x:v>29</x:v>
      </x:c>
      <x:c r="F21" s="8" t="n">
        <x:f>VLOOKUP(C21,'원본_AIDeck'!$B$2:$N$47,9,FALSE)</x:f>
        <x:v>20</x:v>
      </x:c>
      <x:c r="G21" s="8" t="n">
        <x:f>VLOOKUP(C21,'원본_AIDeck'!$B$2:$N$47,10,FALSE)</x:f>
        <x:v>5</x:v>
      </x:c>
      <x:c r="H21" s="8" t="n">
        <x:f>VLOOKUP(C21,'원본_AIDeck'!$B$2:$N$47,11,FALSE)</x:f>
        <x:v>37</x:v>
      </x:c>
      <x:c r="I21" s="8" t="n">
        <x:f>VLOOKUP(C21,'원본_AIDeck'!$B$2:$N$47,12,FALSE)</x:f>
        <x:v>28</x:v>
      </x:c>
      <x:c r="J21" s="8" t="n">
        <x:f>VLOOKUP(C21,'원본_AIDeck'!$B$2:$N$47,13,FALSE)</x:f>
        <x:v>2</x:v>
      </x:c>
      <x:c r="K21" s="8" t="n">
        <x:f>VLOOKUP(E21,'카드성장'!$A$7:$G$46,'원본_RankAiEncounter'!E16+2,FALSE)+SUMIF('원본_CardLimitBreak'!$B$2:$B$4,"&lt;="&amp;'원본_RankAiEncounter'!K16,'원본_CardLimitBreak'!$C$2:$C$4)</x:f>
        <x:v>16</x:v>
      </x:c>
      <x:c r="L21" s="8" t="n">
        <x:f>VLOOKUP(F21,'카드성장'!$A$7:$G$46,'원본_RankAiEncounter'!F16+2,FALSE)+SUMIF('원본_CardLimitBreak'!$B$2:$B$4,"&lt;="&amp;'원본_RankAiEncounter'!L16,'원본_CardLimitBreak'!$C$2:$C$4)</x:f>
        <x:v>8</x:v>
      </x:c>
      <x:c r="M21" s="8" t="n">
        <x:f>VLOOKUP(G21,'카드성장'!$A$7:$G$46,'원본_RankAiEncounter'!G16+2,FALSE)+SUMIF('원본_CardLimitBreak'!$B$2:$B$4,"&lt;="&amp;'원본_RankAiEncounter'!M16,'원본_CardLimitBreak'!$C$2:$C$4)</x:f>
        <x:v>9</x:v>
      </x:c>
      <x:c r="N21" s="8" t="n">
        <x:f>VLOOKUP(H21,'카드성장'!$A$7:$G$46,'원본_RankAiEncounter'!H16+2,FALSE)+SUMIF('원본_CardLimitBreak'!$B$2:$B$4,"&lt;="&amp;'원본_RankAiEncounter'!N16,'원본_CardLimitBreak'!$C$2:$C$4)</x:f>
        <x:v>17</x:v>
      </x:c>
      <x:c r="O21" s="8" t="n">
        <x:f>VLOOKUP(I21,'카드성장'!$A$7:$G$46,'원본_RankAiEncounter'!I16+2,FALSE)+SUMIF('원본_CardLimitBreak'!$B$2:$B$4,"&lt;="&amp;'원본_RankAiEncounter'!O16,'원본_CardLimitBreak'!$C$2:$C$4)</x:f>
        <x:v>10</x:v>
      </x:c>
      <x:c r="P21" s="8" t="n">
        <x:f>VLOOKUP(J21,'카드성장'!$A$7:$G$46,'원본_RankAiEncounter'!J16+2,FALSE)+SUMIF('원본_CardLimitBreak'!$B$2:$B$4,"&lt;="&amp;'원본_RankAiEncounter'!P16,'원본_CardLimitBreak'!$C$2:$C$4)</x:f>
        <x:v>7</x:v>
      </x:c>
      <x:c r="Q21" s="8" t="n">
        <x:f>SUM(K21:P21)</x:f>
        <x:v>67</x:v>
      </x:c>
      <x:c r="R21" s="8"/>
    </x:row>
    <x:row r="22" ht="23" customHeight="1">
      <x:c r="A22" s="8" t="n">
        <x:f>'원본_RankAiEncounter'!B17</x:f>
        <x:v>4</x:v>
      </x:c>
      <x:c r="B22" s="8" t="str">
        <x:f>'원본_RankAiEncounter'!C17</x:f>
        <x:v>Normal</x:v>
      </x:c>
      <x:c r="C22" s="8" t="str">
        <x:f>'원본_RankAiEncounter'!D17</x:f>
        <x:v>deck_14</x:v>
      </x:c>
      <x:c r="D22" s="8" t="n">
        <x:f>MAX(1,VLOOKUP(C22,'원본_AIDeck'!$B$2:$N$47,5,FALSE))</x:f>
        <x:v>1</x:v>
      </x:c>
      <x:c r="E22" s="8" t="n">
        <x:f>VLOOKUP(C22,'원본_AIDeck'!$B$2:$N$47,8,FALSE)</x:f>
        <x:v>20</x:v>
      </x:c>
      <x:c r="F22" s="8" t="n">
        <x:f>VLOOKUP(C22,'원본_AIDeck'!$B$2:$N$47,9,FALSE)</x:f>
        <x:v>18</x:v>
      </x:c>
      <x:c r="G22" s="8" t="n">
        <x:f>VLOOKUP(C22,'원본_AIDeck'!$B$2:$N$47,10,FALSE)</x:f>
        <x:v>9</x:v>
      </x:c>
      <x:c r="H22" s="8" t="n">
        <x:f>VLOOKUP(C22,'원본_AIDeck'!$B$2:$N$47,11,FALSE)</x:f>
        <x:v>4</x:v>
      </x:c>
      <x:c r="I22" s="8" t="n">
        <x:f>VLOOKUP(C22,'원본_AIDeck'!$B$2:$N$47,12,FALSE)</x:f>
        <x:v>8</x:v>
      </x:c>
      <x:c r="J22" s="8" t="n">
        <x:f>VLOOKUP(C22,'원본_AIDeck'!$B$2:$N$47,13,FALSE)</x:f>
        <x:v>6</x:v>
      </x:c>
      <x:c r="K22" s="8" t="n">
        <x:f>VLOOKUP(E22,'카드성장'!$A$7:$G$46,'원본_RankAiEncounter'!E17+2,FALSE)+SUMIF('원본_CardLimitBreak'!$B$2:$B$4,"&lt;="&amp;'원본_RankAiEncounter'!K17,'원본_CardLimitBreak'!$C$2:$C$4)</x:f>
        <x:v>18</x:v>
      </x:c>
      <x:c r="L22" s="8" t="n">
        <x:f>VLOOKUP(F22,'카드성장'!$A$7:$G$46,'원본_RankAiEncounter'!F17+2,FALSE)+SUMIF('원본_CardLimitBreak'!$B$2:$B$4,"&lt;="&amp;'원본_RankAiEncounter'!L17,'원본_CardLimitBreak'!$C$2:$C$4)</x:f>
        <x:v>7</x:v>
      </x:c>
      <x:c r="M22" s="8" t="n">
        <x:f>VLOOKUP(G22,'카드성장'!$A$7:$G$46,'원본_RankAiEncounter'!G17+2,FALSE)+SUMIF('원본_CardLimitBreak'!$B$2:$B$4,"&lt;="&amp;'원본_RankAiEncounter'!M17,'원본_CardLimitBreak'!$C$2:$C$4)</x:f>
        <x:v>14</x:v>
      </x:c>
      <x:c r="N22" s="8" t="n">
        <x:f>VLOOKUP(H22,'카드성장'!$A$7:$G$46,'원본_RankAiEncounter'!H17+2,FALSE)+SUMIF('원본_CardLimitBreak'!$B$2:$B$4,"&lt;="&amp;'원본_RankAiEncounter'!N17,'원본_CardLimitBreak'!$C$2:$C$4)</x:f>
        <x:v>9</x:v>
      </x:c>
      <x:c r="O22" s="8" t="n">
        <x:f>VLOOKUP(I22,'카드성장'!$A$7:$G$46,'원본_RankAiEncounter'!I17+2,FALSE)+SUMIF('원본_CardLimitBreak'!$B$2:$B$4,"&lt;="&amp;'원본_RankAiEncounter'!O17,'원본_CardLimitBreak'!$C$2:$C$4)</x:f>
        <x:v>8</x:v>
      </x:c>
      <x:c r="P22" s="8" t="n">
        <x:f>VLOOKUP(J22,'카드성장'!$A$7:$G$46,'원본_RankAiEncounter'!J17+2,FALSE)+SUMIF('원본_CardLimitBreak'!$B$2:$B$4,"&lt;="&amp;'원본_RankAiEncounter'!P17,'원본_CardLimitBreak'!$C$2:$C$4)</x:f>
        <x:v>10</x:v>
      </x:c>
      <x:c r="Q22" s="8" t="n">
        <x:f>SUM(K22:P22)</x:f>
        <x:v>66</x:v>
      </x:c>
      <x:c r="R22" s="8"/>
    </x:row>
    <x:row r="23" ht="23" customHeight="1">
      <x:c r="A23" s="8" t="n">
        <x:f>'원본_RankAiEncounter'!B18</x:f>
        <x:v>4</x:v>
      </x:c>
      <x:c r="B23" s="8" t="str">
        <x:f>'원본_RankAiEncounter'!C18</x:f>
        <x:v>Normal</x:v>
      </x:c>
      <x:c r="C23" s="8" t="str">
        <x:f>'원본_RankAiEncounter'!D18</x:f>
        <x:v>deck_15</x:v>
      </x:c>
      <x:c r="D23" s="8" t="n">
        <x:f>MAX(1,VLOOKUP(C23,'원본_AIDeck'!$B$2:$N$47,5,FALSE))</x:f>
        <x:v>1</x:v>
      </x:c>
      <x:c r="E23" s="8" t="n">
        <x:f>VLOOKUP(C23,'원본_AIDeck'!$B$2:$N$47,8,FALSE)</x:f>
        <x:v>19</x:v>
      </x:c>
      <x:c r="F23" s="8" t="n">
        <x:f>VLOOKUP(C23,'원본_AIDeck'!$B$2:$N$47,9,FALSE)</x:f>
        <x:v>13</x:v>
      </x:c>
      <x:c r="G23" s="8" t="n">
        <x:f>VLOOKUP(C23,'원본_AIDeck'!$B$2:$N$47,10,FALSE)</x:f>
        <x:v>20</x:v>
      </x:c>
      <x:c r="H23" s="8" t="n">
        <x:f>VLOOKUP(C23,'원본_AIDeck'!$B$2:$N$47,11,FALSE)</x:f>
        <x:v>25</x:v>
      </x:c>
      <x:c r="I23" s="8" t="n">
        <x:f>VLOOKUP(C23,'원본_AIDeck'!$B$2:$N$47,12,FALSE)</x:f>
        <x:v>6</x:v>
      </x:c>
      <x:c r="J23" s="8" t="n">
        <x:f>VLOOKUP(C23,'원본_AIDeck'!$B$2:$N$47,13,FALSE)</x:f>
        <x:v>3</x:v>
      </x:c>
      <x:c r="K23" s="8" t="n">
        <x:f>VLOOKUP(E23,'카드성장'!$A$7:$G$46,'원본_RankAiEncounter'!E18+2,FALSE)+SUMIF('원본_CardLimitBreak'!$B$2:$B$4,"&lt;="&amp;'원본_RankAiEncounter'!K18,'원본_CardLimitBreak'!$C$2:$C$4)</x:f>
        <x:v>16</x:v>
      </x:c>
      <x:c r="L23" s="8" t="n">
        <x:f>VLOOKUP(F23,'카드성장'!$A$7:$G$46,'원본_RankAiEncounter'!F18+2,FALSE)+SUMIF('원본_CardLimitBreak'!$B$2:$B$4,"&lt;="&amp;'원본_RankAiEncounter'!L18,'원본_CardLimitBreak'!$C$2:$C$4)</x:f>
        <x:v>9</x:v>
      </x:c>
      <x:c r="M23" s="8" t="n">
        <x:f>VLOOKUP(G23,'카드성장'!$A$7:$G$46,'원본_RankAiEncounter'!G18+2,FALSE)+SUMIF('원본_CardLimitBreak'!$B$2:$B$4,"&lt;="&amp;'원본_RankAiEncounter'!M18,'원본_CardLimitBreak'!$C$2:$C$4)</x:f>
        <x:v>8</x:v>
      </x:c>
      <x:c r="N23" s="8" t="n">
        <x:f>VLOOKUP(H23,'카드성장'!$A$7:$G$46,'원본_RankAiEncounter'!H18+2,FALSE)+SUMIF('원본_CardLimitBreak'!$B$2:$B$4,"&lt;="&amp;'원본_RankAiEncounter'!N18,'원본_CardLimitBreak'!$C$2:$C$4)</x:f>
        <x:v>17</x:v>
      </x:c>
      <x:c r="O23" s="8" t="n">
        <x:f>VLOOKUP(I23,'카드성장'!$A$7:$G$46,'원본_RankAiEncounter'!I18+2,FALSE)+SUMIF('원본_CardLimitBreak'!$B$2:$B$4,"&lt;="&amp;'원본_RankAiEncounter'!O18,'원본_CardLimitBreak'!$C$2:$C$4)</x:f>
        <x:v>10</x:v>
      </x:c>
      <x:c r="P23" s="8" t="n">
        <x:f>VLOOKUP(J23,'카드성장'!$A$7:$G$46,'원본_RankAiEncounter'!J18+2,FALSE)+SUMIF('원본_CardLimitBreak'!$B$2:$B$4,"&lt;="&amp;'원본_RankAiEncounter'!P18,'원본_CardLimitBreak'!$C$2:$C$4)</x:f>
        <x:v>6</x:v>
      </x:c>
      <x:c r="Q23" s="8" t="n">
        <x:f>SUM(K23:P23)</x:f>
        <x:v>66</x:v>
      </x:c>
      <x:c r="R23" s="8"/>
    </x:row>
    <x:row r="24" ht="23" customHeight="1">
      <x:c r="A24" s="8" t="n">
        <x:f>'원본_RankAiEncounter'!B19</x:f>
        <x:v>4</x:v>
      </x:c>
      <x:c r="B24" s="8" t="str">
        <x:f>'원본_RankAiEncounter'!C19</x:f>
        <x:v>Normal</x:v>
      </x:c>
      <x:c r="C24" s="8" t="str">
        <x:f>'원본_RankAiEncounter'!D19</x:f>
        <x:v>deck_16</x:v>
      </x:c>
      <x:c r="D24" s="8" t="n">
        <x:f>MAX(1,VLOOKUP(C24,'원본_AIDeck'!$B$2:$N$47,5,FALSE))</x:f>
        <x:v>1</x:v>
      </x:c>
      <x:c r="E24" s="8" t="n">
        <x:f>VLOOKUP(C24,'원본_AIDeck'!$B$2:$N$47,8,FALSE)</x:f>
        <x:v>4</x:v>
      </x:c>
      <x:c r="F24" s="8" t="n">
        <x:f>VLOOKUP(C24,'원본_AIDeck'!$B$2:$N$47,9,FALSE)</x:f>
        <x:v>1</x:v>
      </x:c>
      <x:c r="G24" s="8" t="n">
        <x:f>VLOOKUP(C24,'원본_AIDeck'!$B$2:$N$47,10,FALSE)</x:f>
        <x:v>3</x:v>
      </x:c>
      <x:c r="H24" s="8" t="n">
        <x:f>VLOOKUP(C24,'원본_AIDeck'!$B$2:$N$47,11,FALSE)</x:f>
        <x:v>2</x:v>
      </x:c>
      <x:c r="I24" s="8" t="n">
        <x:f>VLOOKUP(C24,'원본_AIDeck'!$B$2:$N$47,12,FALSE)</x:f>
        <x:v>20</x:v>
      </x:c>
      <x:c r="J24" s="8" t="n">
        <x:f>VLOOKUP(C24,'원본_AIDeck'!$B$2:$N$47,13,FALSE)</x:f>
        <x:v>7</x:v>
      </x:c>
      <x:c r="K24" s="8" t="n">
        <x:f>VLOOKUP(E24,'카드성장'!$A$7:$G$46,'원본_RankAiEncounter'!E19+2,FALSE)+SUMIF('원본_CardLimitBreak'!$B$2:$B$4,"&lt;="&amp;'원본_RankAiEncounter'!K19,'원본_CardLimitBreak'!$C$2:$C$4)</x:f>
        <x:v>18</x:v>
      </x:c>
      <x:c r="L24" s="8" t="n">
        <x:f>VLOOKUP(F24,'카드성장'!$A$7:$G$46,'원본_RankAiEncounter'!F19+2,FALSE)+SUMIF('원본_CardLimitBreak'!$B$2:$B$4,"&lt;="&amp;'원본_RankAiEncounter'!L19,'원본_CardLimitBreak'!$C$2:$C$4)</x:f>
        <x:v>6</x:v>
      </x:c>
      <x:c r="M24" s="8" t="n">
        <x:f>VLOOKUP(G24,'카드성장'!$A$7:$G$46,'원본_RankAiEncounter'!G19+2,FALSE)+SUMIF('원본_CardLimitBreak'!$B$2:$B$4,"&lt;="&amp;'원본_RankAiEncounter'!M19,'원본_CardLimitBreak'!$C$2:$C$4)</x:f>
        <x:v>6</x:v>
      </x:c>
      <x:c r="N24" s="8" t="n">
        <x:f>VLOOKUP(H24,'카드성장'!$A$7:$G$46,'원본_RankAiEncounter'!H19+2,FALSE)+SUMIF('원본_CardLimitBreak'!$B$2:$B$4,"&lt;="&amp;'원본_RankAiEncounter'!N19,'원본_CardLimitBreak'!$C$2:$C$4)</x:f>
        <x:v>14</x:v>
      </x:c>
      <x:c r="O24" s="8" t="n">
        <x:f>VLOOKUP(I24,'카드성장'!$A$7:$G$46,'원본_RankAiEncounter'!I19+2,FALSE)+SUMIF('원본_CardLimitBreak'!$B$2:$B$4,"&lt;="&amp;'원본_RankAiEncounter'!O19,'원본_CardLimitBreak'!$C$2:$C$4)</x:f>
        <x:v>8</x:v>
      </x:c>
      <x:c r="P24" s="8" t="n">
        <x:f>VLOOKUP(J24,'카드성장'!$A$7:$G$46,'원본_RankAiEncounter'!J19+2,FALSE)+SUMIF('원본_CardLimitBreak'!$B$2:$B$4,"&lt;="&amp;'원본_RankAiEncounter'!P19,'원본_CardLimitBreak'!$C$2:$C$4)</x:f>
        <x:v>9</x:v>
      </x:c>
      <x:c r="Q24" s="8" t="n">
        <x:f>SUM(K24:P24)</x:f>
        <x:v>61</x:v>
      </x:c>
      <x:c r="R24" s="8"/>
    </x:row>
    <x:row r="25" ht="23" customHeight="1">
      <x:c r="A25" s="8" t="n">
        <x:f>'원본_RankAiEncounter'!B20</x:f>
        <x:v>5</x:v>
      </x:c>
      <x:c r="B25" s="8" t="str">
        <x:f>'원본_RankAiEncounter'!C20</x:f>
        <x:v>Normal</x:v>
      </x:c>
      <x:c r="C25" s="8" t="str">
        <x:f>'원본_RankAiEncounter'!D20</x:f>
        <x:v>deck_12</x:v>
      </x:c>
      <x:c r="D25" s="8" t="n">
        <x:f>MAX(1,VLOOKUP(C25,'원본_AIDeck'!$B$2:$N$47,5,FALSE))</x:f>
        <x:v>1</x:v>
      </x:c>
      <x:c r="E25" s="8" t="n">
        <x:f>VLOOKUP(C25,'원본_AIDeck'!$B$2:$N$47,8,FALSE)</x:f>
        <x:v>17</x:v>
      </x:c>
      <x:c r="F25" s="8" t="n">
        <x:f>VLOOKUP(C25,'원본_AIDeck'!$B$2:$N$47,9,FALSE)</x:f>
        <x:v>18</x:v>
      </x:c>
      <x:c r="G25" s="8" t="n">
        <x:f>VLOOKUP(C25,'원본_AIDeck'!$B$2:$N$47,10,FALSE)</x:f>
        <x:v>2</x:v>
      </x:c>
      <x:c r="H25" s="8" t="n">
        <x:f>VLOOKUP(C25,'원본_AIDeck'!$B$2:$N$47,11,FALSE)</x:f>
        <x:v>20</x:v>
      </x:c>
      <x:c r="I25" s="8" t="n">
        <x:f>VLOOKUP(C25,'원본_AIDeck'!$B$2:$N$47,12,FALSE)</x:f>
        <x:v>6</x:v>
      </x:c>
      <x:c r="J25" s="8" t="n">
        <x:f>VLOOKUP(C25,'원본_AIDeck'!$B$2:$N$47,13,FALSE)</x:f>
        <x:v>27</x:v>
      </x:c>
      <x:c r="K25" s="8" t="n">
        <x:f>VLOOKUP(E25,'카드성장'!$A$7:$G$46,'원본_RankAiEncounter'!E20+2,FALSE)+SUMIF('원본_CardLimitBreak'!$B$2:$B$4,"&lt;="&amp;'원본_RankAiEncounter'!K20,'원본_CardLimitBreak'!$C$2:$C$4)</x:f>
        <x:v>15</x:v>
      </x:c>
      <x:c r="L25" s="8" t="n">
        <x:f>VLOOKUP(F25,'카드성장'!$A$7:$G$46,'원본_RankAiEncounter'!F20+2,FALSE)+SUMIF('원본_CardLimitBreak'!$B$2:$B$4,"&lt;="&amp;'원본_RankAiEncounter'!L20,'원본_CardLimitBreak'!$C$2:$C$4)</x:f>
        <x:v>14</x:v>
      </x:c>
      <x:c r="M25" s="8" t="n">
        <x:f>VLOOKUP(G25,'카드성장'!$A$7:$G$46,'원본_RankAiEncounter'!G20+2,FALSE)+SUMIF('원본_CardLimitBreak'!$B$2:$B$4,"&lt;="&amp;'원본_RankAiEncounter'!M20,'원본_CardLimitBreak'!$C$2:$C$4)</x:f>
        <x:v>7</x:v>
      </x:c>
      <x:c r="N25" s="8" t="n">
        <x:f>VLOOKUP(H25,'카드성장'!$A$7:$G$46,'원본_RankAiEncounter'!H20+2,FALSE)+SUMIF('원본_CardLimitBreak'!$B$2:$B$4,"&lt;="&amp;'원본_RankAiEncounter'!N20,'원본_CardLimitBreak'!$C$2:$C$4)</x:f>
        <x:v>8</x:v>
      </x:c>
      <x:c r="O25" s="8" t="n">
        <x:f>VLOOKUP(I25,'카드성장'!$A$7:$G$46,'원본_RankAiEncounter'!I20+2,FALSE)+SUMIF('원본_CardLimitBreak'!$B$2:$B$4,"&lt;="&amp;'원본_RankAiEncounter'!O20,'원본_CardLimitBreak'!$C$2:$C$4)</x:f>
        <x:v>10</x:v>
      </x:c>
      <x:c r="P25" s="8" t="n">
        <x:f>VLOOKUP(J25,'카드성장'!$A$7:$G$46,'원본_RankAiEncounter'!J20+2,FALSE)+SUMIF('원본_CardLimitBreak'!$B$2:$B$4,"&lt;="&amp;'원본_RankAiEncounter'!P20,'원본_CardLimitBreak'!$C$2:$C$4)</x:f>
        <x:v>7</x:v>
      </x:c>
      <x:c r="Q25" s="8" t="n">
        <x:f>SUM(K25:P25)</x:f>
        <x:v>61</x:v>
      </x:c>
      <x:c r="R25" s="8"/>
    </x:row>
    <x:row r="26" ht="23" customHeight="1">
      <x:c r="A26" s="8" t="n">
        <x:f>'원본_RankAiEncounter'!B21</x:f>
        <x:v>5</x:v>
      </x:c>
      <x:c r="B26" s="8" t="str">
        <x:f>'원본_RankAiEncounter'!C21</x:f>
        <x:v>Normal</x:v>
      </x:c>
      <x:c r="C26" s="8" t="str">
        <x:f>'원본_RankAiEncounter'!D21</x:f>
        <x:v>deck_13</x:v>
      </x:c>
      <x:c r="D26" s="8" t="n">
        <x:f>MAX(1,VLOOKUP(C26,'원본_AIDeck'!$B$2:$N$47,5,FALSE))</x:f>
        <x:v>1</x:v>
      </x:c>
      <x:c r="E26" s="8" t="n">
        <x:f>VLOOKUP(C26,'원본_AIDeck'!$B$2:$N$47,8,FALSE)</x:f>
        <x:v>29</x:v>
      </x:c>
      <x:c r="F26" s="8" t="n">
        <x:f>VLOOKUP(C26,'원본_AIDeck'!$B$2:$N$47,9,FALSE)</x:f>
        <x:v>20</x:v>
      </x:c>
      <x:c r="G26" s="8" t="n">
        <x:f>VLOOKUP(C26,'원본_AIDeck'!$B$2:$N$47,10,FALSE)</x:f>
        <x:v>5</x:v>
      </x:c>
      <x:c r="H26" s="8" t="n">
        <x:f>VLOOKUP(C26,'원본_AIDeck'!$B$2:$N$47,11,FALSE)</x:f>
        <x:v>37</x:v>
      </x:c>
      <x:c r="I26" s="8" t="n">
        <x:f>VLOOKUP(C26,'원본_AIDeck'!$B$2:$N$47,12,FALSE)</x:f>
        <x:v>28</x:v>
      </x:c>
      <x:c r="J26" s="8" t="n">
        <x:f>VLOOKUP(C26,'원본_AIDeck'!$B$2:$N$47,13,FALSE)</x:f>
        <x:v>2</x:v>
      </x:c>
      <x:c r="K26" s="8" t="n">
        <x:f>VLOOKUP(E26,'카드성장'!$A$7:$G$46,'원본_RankAiEncounter'!E21+2,FALSE)+SUMIF('원본_CardLimitBreak'!$B$2:$B$4,"&lt;="&amp;'원본_RankAiEncounter'!K21,'원본_CardLimitBreak'!$C$2:$C$4)</x:f>
        <x:v>16</x:v>
      </x:c>
      <x:c r="L26" s="8" t="n">
        <x:f>VLOOKUP(F26,'카드성장'!$A$7:$G$46,'원본_RankAiEncounter'!F21+2,FALSE)+SUMIF('원본_CardLimitBreak'!$B$2:$B$4,"&lt;="&amp;'원본_RankAiEncounter'!L21,'원본_CardLimitBreak'!$C$2:$C$4)</x:f>
        <x:v>8</x:v>
      </x:c>
      <x:c r="M26" s="8" t="n">
        <x:f>VLOOKUP(G26,'카드성장'!$A$7:$G$46,'원본_RankAiEncounter'!G21+2,FALSE)+SUMIF('원본_CardLimitBreak'!$B$2:$B$4,"&lt;="&amp;'원본_RankAiEncounter'!M21,'원본_CardLimitBreak'!$C$2:$C$4)</x:f>
        <x:v>9</x:v>
      </x:c>
      <x:c r="N26" s="8" t="n">
        <x:f>VLOOKUP(H26,'카드성장'!$A$7:$G$46,'원본_RankAiEncounter'!H21+2,FALSE)+SUMIF('원본_CardLimitBreak'!$B$2:$B$4,"&lt;="&amp;'원본_RankAiEncounter'!N21,'원본_CardLimitBreak'!$C$2:$C$4)</x:f>
        <x:v>17</x:v>
      </x:c>
      <x:c r="O26" s="8" t="n">
        <x:f>VLOOKUP(I26,'카드성장'!$A$7:$G$46,'원본_RankAiEncounter'!I21+2,FALSE)+SUMIF('원본_CardLimitBreak'!$B$2:$B$4,"&lt;="&amp;'원본_RankAiEncounter'!O21,'원본_CardLimitBreak'!$C$2:$C$4)</x:f>
        <x:v>10</x:v>
      </x:c>
      <x:c r="P26" s="8" t="n">
        <x:f>VLOOKUP(J26,'카드성장'!$A$7:$G$46,'원본_RankAiEncounter'!J21+2,FALSE)+SUMIF('원본_CardLimitBreak'!$B$2:$B$4,"&lt;="&amp;'원본_RankAiEncounter'!P21,'원본_CardLimitBreak'!$C$2:$C$4)</x:f>
        <x:v>7</x:v>
      </x:c>
      <x:c r="Q26" s="8" t="n">
        <x:f>SUM(K26:P26)</x:f>
        <x:v>67</x:v>
      </x:c>
      <x:c r="R26" s="8"/>
    </x:row>
    <x:row r="27" ht="23" customHeight="1">
      <x:c r="A27" s="8" t="n">
        <x:f>'원본_RankAiEncounter'!B22</x:f>
        <x:v>5</x:v>
      </x:c>
      <x:c r="B27" s="8" t="str">
        <x:f>'원본_RankAiEncounter'!C22</x:f>
        <x:v>Normal</x:v>
      </x:c>
      <x:c r="C27" s="8" t="str">
        <x:f>'원본_RankAiEncounter'!D22</x:f>
        <x:v>deck_14</x:v>
      </x:c>
      <x:c r="D27" s="8" t="n">
        <x:f>MAX(1,VLOOKUP(C27,'원본_AIDeck'!$B$2:$N$47,5,FALSE))</x:f>
        <x:v>1</x:v>
      </x:c>
      <x:c r="E27" s="8" t="n">
        <x:f>VLOOKUP(C27,'원본_AIDeck'!$B$2:$N$47,8,FALSE)</x:f>
        <x:v>20</x:v>
      </x:c>
      <x:c r="F27" s="8" t="n">
        <x:f>VLOOKUP(C27,'원본_AIDeck'!$B$2:$N$47,9,FALSE)</x:f>
        <x:v>18</x:v>
      </x:c>
      <x:c r="G27" s="8" t="n">
        <x:f>VLOOKUP(C27,'원본_AIDeck'!$B$2:$N$47,10,FALSE)</x:f>
        <x:v>9</x:v>
      </x:c>
      <x:c r="H27" s="8" t="n">
        <x:f>VLOOKUP(C27,'원본_AIDeck'!$B$2:$N$47,11,FALSE)</x:f>
        <x:v>4</x:v>
      </x:c>
      <x:c r="I27" s="8" t="n">
        <x:f>VLOOKUP(C27,'원본_AIDeck'!$B$2:$N$47,12,FALSE)</x:f>
        <x:v>8</x:v>
      </x:c>
      <x:c r="J27" s="8" t="n">
        <x:f>VLOOKUP(C27,'원본_AIDeck'!$B$2:$N$47,13,FALSE)</x:f>
        <x:v>6</x:v>
      </x:c>
      <x:c r="K27" s="8" t="n">
        <x:f>VLOOKUP(E27,'카드성장'!$A$7:$G$46,'원본_RankAiEncounter'!E22+2,FALSE)+SUMIF('원본_CardLimitBreak'!$B$2:$B$4,"&lt;="&amp;'원본_RankAiEncounter'!K22,'원본_CardLimitBreak'!$C$2:$C$4)</x:f>
        <x:v>18</x:v>
      </x:c>
      <x:c r="L27" s="8" t="n">
        <x:f>VLOOKUP(F27,'카드성장'!$A$7:$G$46,'원본_RankAiEncounter'!F22+2,FALSE)+SUMIF('원본_CardLimitBreak'!$B$2:$B$4,"&lt;="&amp;'원본_RankAiEncounter'!L22,'원본_CardLimitBreak'!$C$2:$C$4)</x:f>
        <x:v>7</x:v>
      </x:c>
      <x:c r="M27" s="8" t="n">
        <x:f>VLOOKUP(G27,'카드성장'!$A$7:$G$46,'원본_RankAiEncounter'!G22+2,FALSE)+SUMIF('원본_CardLimitBreak'!$B$2:$B$4,"&lt;="&amp;'원본_RankAiEncounter'!M22,'원본_CardLimitBreak'!$C$2:$C$4)</x:f>
        <x:v>14</x:v>
      </x:c>
      <x:c r="N27" s="8" t="n">
        <x:f>VLOOKUP(H27,'카드성장'!$A$7:$G$46,'원본_RankAiEncounter'!H22+2,FALSE)+SUMIF('원본_CardLimitBreak'!$B$2:$B$4,"&lt;="&amp;'원본_RankAiEncounter'!N22,'원본_CardLimitBreak'!$C$2:$C$4)</x:f>
        <x:v>9</x:v>
      </x:c>
      <x:c r="O27" s="8" t="n">
        <x:f>VLOOKUP(I27,'카드성장'!$A$7:$G$46,'원본_RankAiEncounter'!I22+2,FALSE)+SUMIF('원본_CardLimitBreak'!$B$2:$B$4,"&lt;="&amp;'원본_RankAiEncounter'!O22,'원본_CardLimitBreak'!$C$2:$C$4)</x:f>
        <x:v>8</x:v>
      </x:c>
      <x:c r="P27" s="8" t="n">
        <x:f>VLOOKUP(J27,'카드성장'!$A$7:$G$46,'원본_RankAiEncounter'!J22+2,FALSE)+SUMIF('원본_CardLimitBreak'!$B$2:$B$4,"&lt;="&amp;'원본_RankAiEncounter'!P22,'원본_CardLimitBreak'!$C$2:$C$4)</x:f>
        <x:v>10</x:v>
      </x:c>
      <x:c r="Q27" s="8" t="n">
        <x:f>SUM(K27:P27)</x:f>
        <x:v>66</x:v>
      </x:c>
      <x:c r="R27" s="8"/>
    </x:row>
    <x:row r="28" ht="23" customHeight="1">
      <x:c r="A28" s="8" t="n">
        <x:f>'원본_RankAiEncounter'!B23</x:f>
        <x:v>5</x:v>
      </x:c>
      <x:c r="B28" s="8" t="str">
        <x:f>'원본_RankAiEncounter'!C23</x:f>
        <x:v>Normal</x:v>
      </x:c>
      <x:c r="C28" s="8" t="str">
        <x:f>'원본_RankAiEncounter'!D23</x:f>
        <x:v>deck_15</x:v>
      </x:c>
      <x:c r="D28" s="8" t="n">
        <x:f>MAX(1,VLOOKUP(C28,'원본_AIDeck'!$B$2:$N$47,5,FALSE))</x:f>
        <x:v>1</x:v>
      </x:c>
      <x:c r="E28" s="8" t="n">
        <x:f>VLOOKUP(C28,'원본_AIDeck'!$B$2:$N$47,8,FALSE)</x:f>
        <x:v>19</x:v>
      </x:c>
      <x:c r="F28" s="8" t="n">
        <x:f>VLOOKUP(C28,'원본_AIDeck'!$B$2:$N$47,9,FALSE)</x:f>
        <x:v>13</x:v>
      </x:c>
      <x:c r="G28" s="8" t="n">
        <x:f>VLOOKUP(C28,'원본_AIDeck'!$B$2:$N$47,10,FALSE)</x:f>
        <x:v>20</x:v>
      </x:c>
      <x:c r="H28" s="8" t="n">
        <x:f>VLOOKUP(C28,'원본_AIDeck'!$B$2:$N$47,11,FALSE)</x:f>
        <x:v>25</x:v>
      </x:c>
      <x:c r="I28" s="8" t="n">
        <x:f>VLOOKUP(C28,'원본_AIDeck'!$B$2:$N$47,12,FALSE)</x:f>
        <x:v>6</x:v>
      </x:c>
      <x:c r="J28" s="8" t="n">
        <x:f>VLOOKUP(C28,'원본_AIDeck'!$B$2:$N$47,13,FALSE)</x:f>
        <x:v>3</x:v>
      </x:c>
      <x:c r="K28" s="8" t="n">
        <x:f>VLOOKUP(E28,'카드성장'!$A$7:$G$46,'원본_RankAiEncounter'!E23+2,FALSE)+SUMIF('원본_CardLimitBreak'!$B$2:$B$4,"&lt;="&amp;'원본_RankAiEncounter'!K23,'원본_CardLimitBreak'!$C$2:$C$4)</x:f>
        <x:v>16</x:v>
      </x:c>
      <x:c r="L28" s="8" t="n">
        <x:f>VLOOKUP(F28,'카드성장'!$A$7:$G$46,'원본_RankAiEncounter'!F23+2,FALSE)+SUMIF('원본_CardLimitBreak'!$B$2:$B$4,"&lt;="&amp;'원본_RankAiEncounter'!L23,'원본_CardLimitBreak'!$C$2:$C$4)</x:f>
        <x:v>9</x:v>
      </x:c>
      <x:c r="M28" s="8" t="n">
        <x:f>VLOOKUP(G28,'카드성장'!$A$7:$G$46,'원본_RankAiEncounter'!G23+2,FALSE)+SUMIF('원본_CardLimitBreak'!$B$2:$B$4,"&lt;="&amp;'원본_RankAiEncounter'!M23,'원본_CardLimitBreak'!$C$2:$C$4)</x:f>
        <x:v>8</x:v>
      </x:c>
      <x:c r="N28" s="8" t="n">
        <x:f>VLOOKUP(H28,'카드성장'!$A$7:$G$46,'원본_RankAiEncounter'!H23+2,FALSE)+SUMIF('원본_CardLimitBreak'!$B$2:$B$4,"&lt;="&amp;'원본_RankAiEncounter'!N23,'원본_CardLimitBreak'!$C$2:$C$4)</x:f>
        <x:v>17</x:v>
      </x:c>
      <x:c r="O28" s="8" t="n">
        <x:f>VLOOKUP(I28,'카드성장'!$A$7:$G$46,'원본_RankAiEncounter'!I23+2,FALSE)+SUMIF('원본_CardLimitBreak'!$B$2:$B$4,"&lt;="&amp;'원본_RankAiEncounter'!O23,'원본_CardLimitBreak'!$C$2:$C$4)</x:f>
        <x:v>10</x:v>
      </x:c>
      <x:c r="P28" s="8" t="n">
        <x:f>VLOOKUP(J28,'카드성장'!$A$7:$G$46,'원본_RankAiEncounter'!J23+2,FALSE)+SUMIF('원본_CardLimitBreak'!$B$2:$B$4,"&lt;="&amp;'원본_RankAiEncounter'!P23,'원본_CardLimitBreak'!$C$2:$C$4)</x:f>
        <x:v>6</x:v>
      </x:c>
      <x:c r="Q28" s="8" t="n">
        <x:f>SUM(K28:P28)</x:f>
        <x:v>66</x:v>
      </x:c>
      <x:c r="R28" s="8"/>
    </x:row>
    <x:row r="29" ht="23" customHeight="1">
      <x:c r="A29" s="8" t="n">
        <x:f>'원본_RankAiEncounter'!B24</x:f>
        <x:v>5</x:v>
      </x:c>
      <x:c r="B29" s="8" t="str">
        <x:f>'원본_RankAiEncounter'!C24</x:f>
        <x:v>Normal</x:v>
      </x:c>
      <x:c r="C29" s="8" t="str">
        <x:f>'원본_RankAiEncounter'!D24</x:f>
        <x:v>deck_16</x:v>
      </x:c>
      <x:c r="D29" s="8" t="n">
        <x:f>MAX(1,VLOOKUP(C29,'원본_AIDeck'!$B$2:$N$47,5,FALSE))</x:f>
        <x:v>1</x:v>
      </x:c>
      <x:c r="E29" s="8" t="n">
        <x:f>VLOOKUP(C29,'원본_AIDeck'!$B$2:$N$47,8,FALSE)</x:f>
        <x:v>4</x:v>
      </x:c>
      <x:c r="F29" s="8" t="n">
        <x:f>VLOOKUP(C29,'원본_AIDeck'!$B$2:$N$47,9,FALSE)</x:f>
        <x:v>1</x:v>
      </x:c>
      <x:c r="G29" s="8" t="n">
        <x:f>VLOOKUP(C29,'원본_AIDeck'!$B$2:$N$47,10,FALSE)</x:f>
        <x:v>3</x:v>
      </x:c>
      <x:c r="H29" s="8" t="n">
        <x:f>VLOOKUP(C29,'원본_AIDeck'!$B$2:$N$47,11,FALSE)</x:f>
        <x:v>2</x:v>
      </x:c>
      <x:c r="I29" s="8" t="n">
        <x:f>VLOOKUP(C29,'원본_AIDeck'!$B$2:$N$47,12,FALSE)</x:f>
        <x:v>20</x:v>
      </x:c>
      <x:c r="J29" s="8" t="n">
        <x:f>VLOOKUP(C29,'원본_AIDeck'!$B$2:$N$47,13,FALSE)</x:f>
        <x:v>7</x:v>
      </x:c>
      <x:c r="K29" s="8" t="n">
        <x:f>VLOOKUP(E29,'카드성장'!$A$7:$G$46,'원본_RankAiEncounter'!E24+2,FALSE)+SUMIF('원본_CardLimitBreak'!$B$2:$B$4,"&lt;="&amp;'원본_RankAiEncounter'!K24,'원본_CardLimitBreak'!$C$2:$C$4)</x:f>
        <x:v>18</x:v>
      </x:c>
      <x:c r="L29" s="8" t="n">
        <x:f>VLOOKUP(F29,'카드성장'!$A$7:$G$46,'원본_RankAiEncounter'!F24+2,FALSE)+SUMIF('원본_CardLimitBreak'!$B$2:$B$4,"&lt;="&amp;'원본_RankAiEncounter'!L24,'원본_CardLimitBreak'!$C$2:$C$4)</x:f>
        <x:v>6</x:v>
      </x:c>
      <x:c r="M29" s="8" t="n">
        <x:f>VLOOKUP(G29,'카드성장'!$A$7:$G$46,'원본_RankAiEncounter'!G24+2,FALSE)+SUMIF('원본_CardLimitBreak'!$B$2:$B$4,"&lt;="&amp;'원본_RankAiEncounter'!M24,'원본_CardLimitBreak'!$C$2:$C$4)</x:f>
        <x:v>6</x:v>
      </x:c>
      <x:c r="N29" s="8" t="n">
        <x:f>VLOOKUP(H29,'카드성장'!$A$7:$G$46,'원본_RankAiEncounter'!H24+2,FALSE)+SUMIF('원본_CardLimitBreak'!$B$2:$B$4,"&lt;="&amp;'원본_RankAiEncounter'!N24,'원본_CardLimitBreak'!$C$2:$C$4)</x:f>
        <x:v>14</x:v>
      </x:c>
      <x:c r="O29" s="8" t="n">
        <x:f>VLOOKUP(I29,'카드성장'!$A$7:$G$46,'원본_RankAiEncounter'!I24+2,FALSE)+SUMIF('원본_CardLimitBreak'!$B$2:$B$4,"&lt;="&amp;'원본_RankAiEncounter'!O24,'원본_CardLimitBreak'!$C$2:$C$4)</x:f>
        <x:v>8</x:v>
      </x:c>
      <x:c r="P29" s="8" t="n">
        <x:f>VLOOKUP(J29,'카드성장'!$A$7:$G$46,'원본_RankAiEncounter'!J24+2,FALSE)+SUMIF('원본_CardLimitBreak'!$B$2:$B$4,"&lt;="&amp;'원본_RankAiEncounter'!P24,'원본_CardLimitBreak'!$C$2:$C$4)</x:f>
        <x:v>9</x:v>
      </x:c>
      <x:c r="Q29" s="8" t="n">
        <x:f>SUM(K29:P29)</x:f>
        <x:v>61</x:v>
      </x:c>
      <x:c r="R29" s="8"/>
    </x:row>
    <x:row r="30" ht="23" customHeight="1">
      <x:c r="A30" s="8" t="n">
        <x:f>'원본_RankAiEncounter'!B25</x:f>
        <x:v>6</x:v>
      </x:c>
      <x:c r="B30" s="8" t="str">
        <x:f>'원본_RankAiEncounter'!C25</x:f>
        <x:v>Normal</x:v>
      </x:c>
      <x:c r="C30" s="8" t="str">
        <x:f>'원본_RankAiEncounter'!D25</x:f>
        <x:v>deck_15</x:v>
      </x:c>
      <x:c r="D30" s="8" t="n">
        <x:f>MAX(1,VLOOKUP(C30,'원본_AIDeck'!$B$2:$N$47,5,FALSE))</x:f>
        <x:v>1</x:v>
      </x:c>
      <x:c r="E30" s="8" t="n">
        <x:f>VLOOKUP(C30,'원본_AIDeck'!$B$2:$N$47,8,FALSE)</x:f>
        <x:v>19</x:v>
      </x:c>
      <x:c r="F30" s="8" t="n">
        <x:f>VLOOKUP(C30,'원본_AIDeck'!$B$2:$N$47,9,FALSE)</x:f>
        <x:v>13</x:v>
      </x:c>
      <x:c r="G30" s="8" t="n">
        <x:f>VLOOKUP(C30,'원본_AIDeck'!$B$2:$N$47,10,FALSE)</x:f>
        <x:v>20</x:v>
      </x:c>
      <x:c r="H30" s="8" t="n">
        <x:f>VLOOKUP(C30,'원본_AIDeck'!$B$2:$N$47,11,FALSE)</x:f>
        <x:v>25</x:v>
      </x:c>
      <x:c r="I30" s="8" t="n">
        <x:f>VLOOKUP(C30,'원본_AIDeck'!$B$2:$N$47,12,FALSE)</x:f>
        <x:v>6</x:v>
      </x:c>
      <x:c r="J30" s="8" t="n">
        <x:f>VLOOKUP(C30,'원본_AIDeck'!$B$2:$N$47,13,FALSE)</x:f>
        <x:v>3</x:v>
      </x:c>
      <x:c r="K30" s="8" t="n">
        <x:f>VLOOKUP(E30,'카드성장'!$A$7:$G$46,'원본_RankAiEncounter'!E25+2,FALSE)+SUMIF('원본_CardLimitBreak'!$B$2:$B$4,"&lt;="&amp;'원본_RankAiEncounter'!K25,'원본_CardLimitBreak'!$C$2:$C$4)</x:f>
        <x:v>16</x:v>
      </x:c>
      <x:c r="L30" s="8" t="n">
        <x:f>VLOOKUP(F30,'카드성장'!$A$7:$G$46,'원본_RankAiEncounter'!F25+2,FALSE)+SUMIF('원본_CardLimitBreak'!$B$2:$B$4,"&lt;="&amp;'원본_RankAiEncounter'!L25,'원본_CardLimitBreak'!$C$2:$C$4)</x:f>
        <x:v>9</x:v>
      </x:c>
      <x:c r="M30" s="8" t="n">
        <x:f>VLOOKUP(G30,'카드성장'!$A$7:$G$46,'원본_RankAiEncounter'!G25+2,FALSE)+SUMIF('원본_CardLimitBreak'!$B$2:$B$4,"&lt;="&amp;'원본_RankAiEncounter'!M25,'원본_CardLimitBreak'!$C$2:$C$4)</x:f>
        <x:v>8</x:v>
      </x:c>
      <x:c r="N30" s="8" t="n">
        <x:f>VLOOKUP(H30,'카드성장'!$A$7:$G$46,'원본_RankAiEncounter'!H25+2,FALSE)+SUMIF('원본_CardLimitBreak'!$B$2:$B$4,"&lt;="&amp;'원본_RankAiEncounter'!N25,'원본_CardLimitBreak'!$C$2:$C$4)</x:f>
        <x:v>17</x:v>
      </x:c>
      <x:c r="O30" s="8" t="n">
        <x:f>VLOOKUP(I30,'카드성장'!$A$7:$G$46,'원본_RankAiEncounter'!I25+2,FALSE)+SUMIF('원본_CardLimitBreak'!$B$2:$B$4,"&lt;="&amp;'원본_RankAiEncounter'!O25,'원본_CardLimitBreak'!$C$2:$C$4)</x:f>
        <x:v>10</x:v>
      </x:c>
      <x:c r="P30" s="8" t="n">
        <x:f>VLOOKUP(J30,'카드성장'!$A$7:$G$46,'원본_RankAiEncounter'!J25+2,FALSE)+SUMIF('원본_CardLimitBreak'!$B$2:$B$4,"&lt;="&amp;'원본_RankAiEncounter'!P25,'원본_CardLimitBreak'!$C$2:$C$4)</x:f>
        <x:v>6</x:v>
      </x:c>
      <x:c r="Q30" s="8" t="n">
        <x:f>SUM(K30:P30)</x:f>
        <x:v>66</x:v>
      </x:c>
      <x:c r="R30" s="8"/>
    </x:row>
    <x:row r="31" ht="23" customHeight="1">
      <x:c r="A31" s="8" t="n">
        <x:f>'원본_RankAiEncounter'!B26</x:f>
        <x:v>6</x:v>
      </x:c>
      <x:c r="B31" s="8" t="str">
        <x:f>'원본_RankAiEncounter'!C26</x:f>
        <x:v>Normal</x:v>
      </x:c>
      <x:c r="C31" s="8" t="str">
        <x:f>'원본_RankAiEncounter'!D26</x:f>
        <x:v>deck_16</x:v>
      </x:c>
      <x:c r="D31" s="8" t="n">
        <x:f>MAX(1,VLOOKUP(C31,'원본_AIDeck'!$B$2:$N$47,5,FALSE))</x:f>
        <x:v>1</x:v>
      </x:c>
      <x:c r="E31" s="8" t="n">
        <x:f>VLOOKUP(C31,'원본_AIDeck'!$B$2:$N$47,8,FALSE)</x:f>
        <x:v>4</x:v>
      </x:c>
      <x:c r="F31" s="8" t="n">
        <x:f>VLOOKUP(C31,'원본_AIDeck'!$B$2:$N$47,9,FALSE)</x:f>
        <x:v>1</x:v>
      </x:c>
      <x:c r="G31" s="8" t="n">
        <x:f>VLOOKUP(C31,'원본_AIDeck'!$B$2:$N$47,10,FALSE)</x:f>
        <x:v>3</x:v>
      </x:c>
      <x:c r="H31" s="8" t="n">
        <x:f>VLOOKUP(C31,'원본_AIDeck'!$B$2:$N$47,11,FALSE)</x:f>
        <x:v>2</x:v>
      </x:c>
      <x:c r="I31" s="8" t="n">
        <x:f>VLOOKUP(C31,'원본_AIDeck'!$B$2:$N$47,12,FALSE)</x:f>
        <x:v>20</x:v>
      </x:c>
      <x:c r="J31" s="8" t="n">
        <x:f>VLOOKUP(C31,'원본_AIDeck'!$B$2:$N$47,13,FALSE)</x:f>
        <x:v>7</x:v>
      </x:c>
      <x:c r="K31" s="8" t="n">
        <x:f>VLOOKUP(E31,'카드성장'!$A$7:$G$46,'원본_RankAiEncounter'!E26+2,FALSE)+SUMIF('원본_CardLimitBreak'!$B$2:$B$4,"&lt;="&amp;'원본_RankAiEncounter'!K26,'원본_CardLimitBreak'!$C$2:$C$4)</x:f>
        <x:v>18</x:v>
      </x:c>
      <x:c r="L31" s="8" t="n">
        <x:f>VLOOKUP(F31,'카드성장'!$A$7:$G$46,'원본_RankAiEncounter'!F26+2,FALSE)+SUMIF('원본_CardLimitBreak'!$B$2:$B$4,"&lt;="&amp;'원본_RankAiEncounter'!L26,'원본_CardLimitBreak'!$C$2:$C$4)</x:f>
        <x:v>6</x:v>
      </x:c>
      <x:c r="M31" s="8" t="n">
        <x:f>VLOOKUP(G31,'카드성장'!$A$7:$G$46,'원본_RankAiEncounter'!G26+2,FALSE)+SUMIF('원본_CardLimitBreak'!$B$2:$B$4,"&lt;="&amp;'원본_RankAiEncounter'!M26,'원본_CardLimitBreak'!$C$2:$C$4)</x:f>
        <x:v>6</x:v>
      </x:c>
      <x:c r="N31" s="8" t="n">
        <x:f>VLOOKUP(H31,'카드성장'!$A$7:$G$46,'원본_RankAiEncounter'!H26+2,FALSE)+SUMIF('원본_CardLimitBreak'!$B$2:$B$4,"&lt;="&amp;'원본_RankAiEncounter'!N26,'원본_CardLimitBreak'!$C$2:$C$4)</x:f>
        <x:v>14</x:v>
      </x:c>
      <x:c r="O31" s="8" t="n">
        <x:f>VLOOKUP(I31,'카드성장'!$A$7:$G$46,'원본_RankAiEncounter'!I26+2,FALSE)+SUMIF('원본_CardLimitBreak'!$B$2:$B$4,"&lt;="&amp;'원본_RankAiEncounter'!O26,'원본_CardLimitBreak'!$C$2:$C$4)</x:f>
        <x:v>8</x:v>
      </x:c>
      <x:c r="P31" s="8" t="n">
        <x:f>VLOOKUP(J31,'카드성장'!$A$7:$G$46,'원본_RankAiEncounter'!J26+2,FALSE)+SUMIF('원본_CardLimitBreak'!$B$2:$B$4,"&lt;="&amp;'원본_RankAiEncounter'!P26,'원본_CardLimitBreak'!$C$2:$C$4)</x:f>
        <x:v>9</x:v>
      </x:c>
      <x:c r="Q31" s="8" t="n">
        <x:f>SUM(K31:P31)</x:f>
        <x:v>61</x:v>
      </x:c>
      <x:c r="R31" s="8"/>
    </x:row>
    <x:row r="32" ht="23" customHeight="1">
      <x:c r="A32" s="8" t="n">
        <x:f>'원본_RankAiEncounter'!B27</x:f>
        <x:v>6</x:v>
      </x:c>
      <x:c r="B32" s="8" t="str">
        <x:f>'원본_RankAiEncounter'!C27</x:f>
        <x:v>Normal</x:v>
      </x:c>
      <x:c r="C32" s="8" t="str">
        <x:f>'원본_RankAiEncounter'!D27</x:f>
        <x:v>deck_17</x:v>
      </x:c>
      <x:c r="D32" s="8" t="n">
        <x:f>MAX(1,VLOOKUP(C32,'원본_AIDeck'!$B$2:$N$47,5,FALSE))</x:f>
        <x:v>1</x:v>
      </x:c>
      <x:c r="E32" s="8" t="n">
        <x:f>VLOOKUP(C32,'원본_AIDeck'!$B$2:$N$47,8,FALSE)</x:f>
        <x:v>15</x:v>
      </x:c>
      <x:c r="F32" s="8" t="n">
        <x:f>VLOOKUP(C32,'원본_AIDeck'!$B$2:$N$47,9,FALSE)</x:f>
        <x:v>16</x:v>
      </x:c>
      <x:c r="G32" s="8" t="n">
        <x:f>VLOOKUP(C32,'원본_AIDeck'!$B$2:$N$47,10,FALSE)</x:f>
        <x:v>30</x:v>
      </x:c>
      <x:c r="H32" s="8" t="n">
        <x:f>VLOOKUP(C32,'원본_AIDeck'!$B$2:$N$47,11,FALSE)</x:f>
        <x:v>25</x:v>
      </x:c>
      <x:c r="I32" s="8" t="n">
        <x:f>VLOOKUP(C32,'원본_AIDeck'!$B$2:$N$47,12,FALSE)</x:f>
        <x:v>14</x:v>
      </x:c>
      <x:c r="J32" s="8" t="n">
        <x:f>VLOOKUP(C32,'원본_AIDeck'!$B$2:$N$47,13,FALSE)</x:f>
        <x:v>6</x:v>
      </x:c>
      <x:c r="K32" s="8" t="n">
        <x:f>VLOOKUP(E32,'카드성장'!$A$7:$G$46,'원본_RankAiEncounter'!E27+2,FALSE)+SUMIF('원본_CardLimitBreak'!$B$2:$B$4,"&lt;="&amp;'원본_RankAiEncounter'!K27,'원본_CardLimitBreak'!$C$2:$C$4)</x:f>
        <x:v>15</x:v>
      </x:c>
      <x:c r="L32" s="8" t="n">
        <x:f>VLOOKUP(F32,'카드성장'!$A$7:$G$46,'원본_RankAiEncounter'!F27+2,FALSE)+SUMIF('원본_CardLimitBreak'!$B$2:$B$4,"&lt;="&amp;'원본_RankAiEncounter'!L27,'원본_CardLimitBreak'!$C$2:$C$4)</x:f>
        <x:v>7</x:v>
      </x:c>
      <x:c r="M32" s="8" t="n">
        <x:f>VLOOKUP(G32,'카드성장'!$A$7:$G$46,'원본_RankAiEncounter'!G27+2,FALSE)+SUMIF('원본_CardLimitBreak'!$B$2:$B$4,"&lt;="&amp;'원본_RankAiEncounter'!M27,'원본_CardLimitBreak'!$C$2:$C$4)</x:f>
        <x:v>8</x:v>
      </x:c>
      <x:c r="N32" s="8" t="n">
        <x:f>VLOOKUP(H32,'카드성장'!$A$7:$G$46,'원본_RankAiEncounter'!H27+2,FALSE)+SUMIF('원본_CardLimitBreak'!$B$2:$B$4,"&lt;="&amp;'원본_RankAiEncounter'!N27,'원본_CardLimitBreak'!$C$2:$C$4)</x:f>
        <x:v>17</x:v>
      </x:c>
      <x:c r="O32" s="8" t="n">
        <x:f>VLOOKUP(I32,'카드성장'!$A$7:$G$46,'원본_RankAiEncounter'!I27+2,FALSE)+SUMIF('원본_CardLimitBreak'!$B$2:$B$4,"&lt;="&amp;'원본_RankAiEncounter'!O27,'원본_CardLimitBreak'!$C$2:$C$4)</x:f>
        <x:v>8</x:v>
      </x:c>
      <x:c r="P32" s="8" t="n">
        <x:f>VLOOKUP(J32,'카드성장'!$A$7:$G$46,'원본_RankAiEncounter'!J27+2,FALSE)+SUMIF('원본_CardLimitBreak'!$B$2:$B$4,"&lt;="&amp;'원본_RankAiEncounter'!P27,'원본_CardLimitBreak'!$C$2:$C$4)</x:f>
        <x:v>10</x:v>
      </x:c>
      <x:c r="Q32" s="8" t="n">
        <x:f>SUM(K32:P32)</x:f>
        <x:v>65</x:v>
      </x:c>
      <x:c r="R32" s="8"/>
    </x:row>
    <x:row r="33" ht="23" customHeight="1">
      <x:c r="A33" s="8" t="n">
        <x:f>'원본_RankAiEncounter'!B28</x:f>
        <x:v>6</x:v>
      </x:c>
      <x:c r="B33" s="8" t="str">
        <x:f>'원본_RankAiEncounter'!C28</x:f>
        <x:v>Normal</x:v>
      </x:c>
      <x:c r="C33" s="8" t="str">
        <x:f>'원본_RankAiEncounter'!D28</x:f>
        <x:v>deck_18</x:v>
      </x:c>
      <x:c r="D33" s="8" t="n">
        <x:f>MAX(1,VLOOKUP(C33,'원본_AIDeck'!$B$2:$N$47,5,FALSE))</x:f>
        <x:v>1</x:v>
      </x:c>
      <x:c r="E33" s="8" t="n">
        <x:f>VLOOKUP(C33,'원본_AIDeck'!$B$2:$N$47,8,FALSE)</x:f>
        <x:v>29</x:v>
      </x:c>
      <x:c r="F33" s="8" t="n">
        <x:f>VLOOKUP(C33,'원본_AIDeck'!$B$2:$N$47,9,FALSE)</x:f>
        <x:v>19</x:v>
      </x:c>
      <x:c r="G33" s="8" t="n">
        <x:f>VLOOKUP(C33,'원본_AIDeck'!$B$2:$N$47,10,FALSE)</x:f>
        <x:v>30</x:v>
      </x:c>
      <x:c r="H33" s="8" t="n">
        <x:f>VLOOKUP(C33,'원본_AIDeck'!$B$2:$N$47,11,FALSE)</x:f>
        <x:v>12</x:v>
      </x:c>
      <x:c r="I33" s="8" t="n">
        <x:f>VLOOKUP(C33,'원본_AIDeck'!$B$2:$N$47,12,FALSE)</x:f>
        <x:v>14</x:v>
      </x:c>
      <x:c r="J33" s="8" t="n">
        <x:f>VLOOKUP(C33,'원본_AIDeck'!$B$2:$N$47,13,FALSE)</x:f>
        <x:v>6</x:v>
      </x:c>
      <x:c r="K33" s="8" t="n">
        <x:f>VLOOKUP(E33,'카드성장'!$A$7:$G$46,'원본_RankAiEncounter'!E28+2,FALSE)+SUMIF('원본_CardLimitBreak'!$B$2:$B$4,"&lt;="&amp;'원본_RankAiEncounter'!K28,'원본_CardLimitBreak'!$C$2:$C$4)</x:f>
        <x:v>16</x:v>
      </x:c>
      <x:c r="L33" s="8" t="n">
        <x:f>VLOOKUP(F33,'카드성장'!$A$7:$G$46,'원본_RankAiEncounter'!F28+2,FALSE)+SUMIF('원본_CardLimitBreak'!$B$2:$B$4,"&lt;="&amp;'원본_RankAiEncounter'!L28,'원본_CardLimitBreak'!$C$2:$C$4)</x:f>
        <x:v>7</x:v>
      </x:c>
      <x:c r="M33" s="8" t="n">
        <x:f>VLOOKUP(G33,'카드성장'!$A$7:$G$46,'원본_RankAiEncounter'!G28+2,FALSE)+SUMIF('원본_CardLimitBreak'!$B$2:$B$4,"&lt;="&amp;'원본_RankAiEncounter'!M28,'원본_CardLimitBreak'!$C$2:$C$4)</x:f>
        <x:v>8</x:v>
      </x:c>
      <x:c r="N33" s="8" t="n">
        <x:f>VLOOKUP(H33,'카드성장'!$A$7:$G$46,'원본_RankAiEncounter'!H28+2,FALSE)+SUMIF('원본_CardLimitBreak'!$B$2:$B$4,"&lt;="&amp;'원본_RankAiEncounter'!N28,'원본_CardLimitBreak'!$C$2:$C$4)</x:f>
        <x:v>18</x:v>
      </x:c>
      <x:c r="O33" s="8" t="n">
        <x:f>VLOOKUP(I33,'카드성장'!$A$7:$G$46,'원본_RankAiEncounter'!I28+2,FALSE)+SUMIF('원본_CardLimitBreak'!$B$2:$B$4,"&lt;="&amp;'원본_RankAiEncounter'!O28,'원본_CardLimitBreak'!$C$2:$C$4)</x:f>
        <x:v>8</x:v>
      </x:c>
      <x:c r="P33" s="8" t="n">
        <x:f>VLOOKUP(J33,'카드성장'!$A$7:$G$46,'원본_RankAiEncounter'!J28+2,FALSE)+SUMIF('원본_CardLimitBreak'!$B$2:$B$4,"&lt;="&amp;'원본_RankAiEncounter'!P28,'원본_CardLimitBreak'!$C$2:$C$4)</x:f>
        <x:v>10</x:v>
      </x:c>
      <x:c r="Q33" s="8" t="n">
        <x:f>SUM(K33:P33)</x:f>
        <x:v>67</x:v>
      </x:c>
      <x:c r="R33" s="8"/>
    </x:row>
    <x:row r="34" ht="23" customHeight="1">
      <x:c r="A34" s="8" t="n">
        <x:f>'원본_RankAiEncounter'!B29</x:f>
        <x:v>7</x:v>
      </x:c>
      <x:c r="B34" s="8" t="str">
        <x:f>'원본_RankAiEncounter'!C29</x:f>
        <x:v>Normal</x:v>
      </x:c>
      <x:c r="C34" s="8" t="str">
        <x:f>'원본_RankAiEncounter'!D29</x:f>
        <x:v>deck_19</x:v>
      </x:c>
      <x:c r="D34" s="8" t="n">
        <x:f>MAX(1,VLOOKUP(C34,'원본_AIDeck'!$B$2:$N$47,5,FALSE))</x:f>
        <x:v>1</x:v>
      </x:c>
      <x:c r="E34" s="8" t="n">
        <x:f>VLOOKUP(C34,'원본_AIDeck'!$B$2:$N$47,8,FALSE)</x:f>
        <x:v>31</x:v>
      </x:c>
      <x:c r="F34" s="8" t="n">
        <x:f>VLOOKUP(C34,'원본_AIDeck'!$B$2:$N$47,9,FALSE)</x:f>
        <x:v>37</x:v>
      </x:c>
      <x:c r="G34" s="8" t="n">
        <x:f>VLOOKUP(C34,'원본_AIDeck'!$B$2:$N$47,10,FALSE)</x:f>
        <x:v>29</x:v>
      </x:c>
      <x:c r="H34" s="8" t="n">
        <x:f>VLOOKUP(C34,'원본_AIDeck'!$B$2:$N$47,11,FALSE)</x:f>
        <x:v>20</x:v>
      </x:c>
      <x:c r="I34" s="8" t="n">
        <x:f>VLOOKUP(C34,'원본_AIDeck'!$B$2:$N$47,12,FALSE)</x:f>
        <x:v>6</x:v>
      </x:c>
      <x:c r="J34" s="8" t="n">
        <x:f>VLOOKUP(C34,'원본_AIDeck'!$B$2:$N$47,13,FALSE)</x:f>
        <x:v>27</x:v>
      </x:c>
      <x:c r="K34" s="8" t="n">
        <x:f>VLOOKUP(E34,'카드성장'!$A$7:$G$46,'원본_RankAiEncounter'!E29+2,FALSE)+SUMIF('원본_CardLimitBreak'!$B$2:$B$4,"&lt;="&amp;'원본_RankAiEncounter'!K29,'원본_CardLimitBreak'!$C$2:$C$4)</x:f>
        <x:v>18</x:v>
      </x:c>
      <x:c r="L34" s="8" t="n">
        <x:f>VLOOKUP(F34,'카드성장'!$A$7:$G$46,'원본_RankAiEncounter'!F29+2,FALSE)+SUMIF('원본_CardLimitBreak'!$B$2:$B$4,"&lt;="&amp;'원본_RankAiEncounter'!L29,'원본_CardLimitBreak'!$C$2:$C$4)</x:f>
        <x:v>17</x:v>
      </x:c>
      <x:c r="M34" s="8" t="n">
        <x:f>VLOOKUP(G34,'카드성장'!$A$7:$G$46,'원본_RankAiEncounter'!G29+2,FALSE)+SUMIF('원본_CardLimitBreak'!$B$2:$B$4,"&lt;="&amp;'원본_RankAiEncounter'!M29,'원본_CardLimitBreak'!$C$2:$C$4)</x:f>
        <x:v>7</x:v>
      </x:c>
      <x:c r="N34" s="8" t="n">
        <x:f>VLOOKUP(H34,'카드성장'!$A$7:$G$46,'원본_RankAiEncounter'!H29+2,FALSE)+SUMIF('원본_CardLimitBreak'!$B$2:$B$4,"&lt;="&amp;'원본_RankAiEncounter'!N29,'원본_CardLimitBreak'!$C$2:$C$4)</x:f>
        <x:v>8</x:v>
      </x:c>
      <x:c r="O34" s="8" t="n">
        <x:f>VLOOKUP(I34,'카드성장'!$A$7:$G$46,'원본_RankAiEncounter'!I29+2,FALSE)+SUMIF('원본_CardLimitBreak'!$B$2:$B$4,"&lt;="&amp;'원본_RankAiEncounter'!O29,'원본_CardLimitBreak'!$C$2:$C$4)</x:f>
        <x:v>10</x:v>
      </x:c>
      <x:c r="P34" s="8" t="n">
        <x:f>VLOOKUP(J34,'카드성장'!$A$7:$G$46,'원본_RankAiEncounter'!J29+2,FALSE)+SUMIF('원본_CardLimitBreak'!$B$2:$B$4,"&lt;="&amp;'원본_RankAiEncounter'!P29,'원본_CardLimitBreak'!$C$2:$C$4)</x:f>
        <x:v>7</x:v>
      </x:c>
      <x:c r="Q34" s="8" t="n">
        <x:f>SUM(K34:P34)</x:f>
        <x:v>67</x:v>
      </x:c>
      <x:c r="R34" s="8"/>
    </x:row>
    <x:row r="35" ht="23" customHeight="1">
      <x:c r="A35" s="8" t="n">
        <x:f>'원본_RankAiEncounter'!B30</x:f>
        <x:v>7</x:v>
      </x:c>
      <x:c r="B35" s="8" t="str">
        <x:f>'원본_RankAiEncounter'!C30</x:f>
        <x:v>Normal</x:v>
      </x:c>
      <x:c r="C35" s="8" t="str">
        <x:f>'원본_RankAiEncounter'!D30</x:f>
        <x:v>deck_20</x:v>
      </x:c>
      <x:c r="D35" s="8" t="n">
        <x:f>MAX(1,VLOOKUP(C35,'원본_AIDeck'!$B$2:$N$47,5,FALSE))</x:f>
        <x:v>1</x:v>
      </x:c>
      <x:c r="E35" s="8" t="n">
        <x:f>VLOOKUP(C35,'원본_AIDeck'!$B$2:$N$47,8,FALSE)</x:f>
        <x:v>6</x:v>
      </x:c>
      <x:c r="F35" s="8" t="n">
        <x:f>VLOOKUP(C35,'원본_AIDeck'!$B$2:$N$47,9,FALSE)</x:f>
        <x:v>38</x:v>
      </x:c>
      <x:c r="G35" s="8" t="n">
        <x:f>VLOOKUP(C35,'원본_AIDeck'!$B$2:$N$47,10,FALSE)</x:f>
        <x:v>20</x:v>
      </x:c>
      <x:c r="H35" s="8" t="n">
        <x:f>VLOOKUP(C35,'원본_AIDeck'!$B$2:$N$47,11,FALSE)</x:f>
        <x:v>30</x:v>
      </x:c>
      <x:c r="I35" s="8" t="n">
        <x:f>VLOOKUP(C35,'원본_AIDeck'!$B$2:$N$47,12,FALSE)</x:f>
        <x:v>23</x:v>
      </x:c>
      <x:c r="J35" s="8" t="n">
        <x:f>VLOOKUP(C35,'원본_AIDeck'!$B$2:$N$47,13,FALSE)</x:f>
        <x:v>27</x:v>
      </x:c>
      <x:c r="K35" s="8" t="n">
        <x:f>VLOOKUP(E35,'카드성장'!$A$7:$G$46,'원본_RankAiEncounter'!E30+2,FALSE)+SUMIF('원본_CardLimitBreak'!$B$2:$B$4,"&lt;="&amp;'원본_RankAiEncounter'!K30,'원본_CardLimitBreak'!$C$2:$C$4)</x:f>
        <x:v>20</x:v>
      </x:c>
      <x:c r="L35" s="8" t="n">
        <x:f>VLOOKUP(F35,'카드성장'!$A$7:$G$46,'원본_RankAiEncounter'!F30+2,FALSE)+SUMIF('원본_CardLimitBreak'!$B$2:$B$4,"&lt;="&amp;'원본_RankAiEncounter'!L30,'원본_CardLimitBreak'!$C$2:$C$4)</x:f>
        <x:v>18</x:v>
      </x:c>
      <x:c r="M35" s="8" t="n">
        <x:f>VLOOKUP(G35,'카드성장'!$A$7:$G$46,'원본_RankAiEncounter'!G30+2,FALSE)+SUMIF('원본_CardLimitBreak'!$B$2:$B$4,"&lt;="&amp;'원본_RankAiEncounter'!M30,'원본_CardLimitBreak'!$C$2:$C$4)</x:f>
        <x:v>8</x:v>
      </x:c>
      <x:c r="N35" s="8" t="n">
        <x:f>VLOOKUP(H35,'카드성장'!$A$7:$G$46,'원본_RankAiEncounter'!H30+2,FALSE)+SUMIF('원본_CardLimitBreak'!$B$2:$B$4,"&lt;="&amp;'원본_RankAiEncounter'!N30,'원본_CardLimitBreak'!$C$2:$C$4)</x:f>
        <x:v>8</x:v>
      </x:c>
      <x:c r="O35" s="8" t="n">
        <x:f>VLOOKUP(I35,'카드성장'!$A$7:$G$46,'원본_RankAiEncounter'!I30+2,FALSE)+SUMIF('원본_CardLimitBreak'!$B$2:$B$4,"&lt;="&amp;'원본_RankAiEncounter'!O30,'원본_CardLimitBreak'!$C$2:$C$4)</x:f>
        <x:v>9</x:v>
      </x:c>
      <x:c r="P35" s="8" t="n">
        <x:f>VLOOKUP(J35,'카드성장'!$A$7:$G$46,'원본_RankAiEncounter'!J30+2,FALSE)+SUMIF('원본_CardLimitBreak'!$B$2:$B$4,"&lt;="&amp;'원본_RankAiEncounter'!P30,'원본_CardLimitBreak'!$C$2:$C$4)</x:f>
        <x:v>7</x:v>
      </x:c>
      <x:c r="Q35" s="8" t="n">
        <x:f>SUM(K35:P35)</x:f>
        <x:v>70</x:v>
      </x:c>
      <x:c r="R35" s="8"/>
    </x:row>
    <x:row r="36" ht="23" customHeight="1">
      <x:c r="A36" s="8" t="n">
        <x:f>'원본_RankAiEncounter'!B31</x:f>
        <x:v>7</x:v>
      </x:c>
      <x:c r="B36" s="8" t="str">
        <x:f>'원본_RankAiEncounter'!C31</x:f>
        <x:v>Normal</x:v>
      </x:c>
      <x:c r="C36" s="8" t="str">
        <x:f>'원본_RankAiEncounter'!D31</x:f>
        <x:v>deck_21</x:v>
      </x:c>
      <x:c r="D36" s="8" t="n">
        <x:f>MAX(1,VLOOKUP(C36,'원본_AIDeck'!$B$2:$N$47,5,FALSE))</x:f>
        <x:v>1</x:v>
      </x:c>
      <x:c r="E36" s="8" t="n">
        <x:f>VLOOKUP(C36,'원본_AIDeck'!$B$2:$N$47,8,FALSE)</x:f>
        <x:v>17</x:v>
      </x:c>
      <x:c r="F36" s="8" t="n">
        <x:f>VLOOKUP(C36,'원본_AIDeck'!$B$2:$N$47,9,FALSE)</x:f>
        <x:v>18</x:v>
      </x:c>
      <x:c r="G36" s="8" t="n">
        <x:f>VLOOKUP(C36,'원본_AIDeck'!$B$2:$N$47,10,FALSE)</x:f>
        <x:v>6</x:v>
      </x:c>
      <x:c r="H36" s="8" t="n">
        <x:f>VLOOKUP(C36,'원본_AIDeck'!$B$2:$N$47,11,FALSE)</x:f>
        <x:v>19</x:v>
      </x:c>
      <x:c r="I36" s="8" t="n">
        <x:f>VLOOKUP(C36,'원본_AIDeck'!$B$2:$N$47,12,FALSE)</x:f>
        <x:v>13</x:v>
      </x:c>
      <x:c r="J36" s="8" t="n">
        <x:f>VLOOKUP(C36,'원본_AIDeck'!$B$2:$N$47,13,FALSE)</x:f>
        <x:v>14</x:v>
      </x:c>
      <x:c r="K36" s="8" t="n">
        <x:f>VLOOKUP(E36,'카드성장'!$A$7:$G$46,'원본_RankAiEncounter'!E31+2,FALSE)+SUMIF('원본_CardLimitBreak'!$B$2:$B$4,"&lt;="&amp;'원본_RankAiEncounter'!K31,'원본_CardLimitBreak'!$C$2:$C$4)</x:f>
        <x:v>15</x:v>
      </x:c>
      <x:c r="L36" s="8" t="n">
        <x:f>VLOOKUP(F36,'카드성장'!$A$7:$G$46,'원본_RankAiEncounter'!F31+2,FALSE)+SUMIF('원본_CardLimitBreak'!$B$2:$B$4,"&lt;="&amp;'원본_RankAiEncounter'!L31,'원본_CardLimitBreak'!$C$2:$C$4)</x:f>
        <x:v>7</x:v>
      </x:c>
      <x:c r="M36" s="8" t="n">
        <x:f>VLOOKUP(G36,'카드성장'!$A$7:$G$46,'원본_RankAiEncounter'!G31+2,FALSE)+SUMIF('원본_CardLimitBreak'!$B$2:$B$4,"&lt;="&amp;'원본_RankAiEncounter'!M31,'원본_CardLimitBreak'!$C$2:$C$4)</x:f>
        <x:v>10</x:v>
      </x:c>
      <x:c r="N36" s="8" t="n">
        <x:f>VLOOKUP(H36,'카드성장'!$A$7:$G$46,'원본_RankAiEncounter'!H31+2,FALSE)+SUMIF('원본_CardLimitBreak'!$B$2:$B$4,"&lt;="&amp;'원본_RankAiEncounter'!N31,'원본_CardLimitBreak'!$C$2:$C$4)</x:f>
        <x:v>16</x:v>
      </x:c>
      <x:c r="O36" s="8" t="n">
        <x:f>VLOOKUP(I36,'카드성장'!$A$7:$G$46,'원본_RankAiEncounter'!I31+2,FALSE)+SUMIF('원본_CardLimitBreak'!$B$2:$B$4,"&lt;="&amp;'원본_RankAiEncounter'!O31,'원본_CardLimitBreak'!$C$2:$C$4)</x:f>
        <x:v>9</x:v>
      </x:c>
      <x:c r="P36" s="8" t="n">
        <x:f>VLOOKUP(J36,'카드성장'!$A$7:$G$46,'원본_RankAiEncounter'!J31+2,FALSE)+SUMIF('원본_CardLimitBreak'!$B$2:$B$4,"&lt;="&amp;'원본_RankAiEncounter'!P31,'원본_CardLimitBreak'!$C$2:$C$4)</x:f>
        <x:v>8</x:v>
      </x:c>
      <x:c r="Q36" s="8" t="n">
        <x:f>SUM(K36:P36)</x:f>
        <x:v>65</x:v>
      </x:c>
      <x:c r="R36" s="8"/>
    </x:row>
    <x:row r="37" ht="23" customHeight="1">
      <x:c r="A37" s="8" t="n">
        <x:f>'원본_RankAiEncounter'!B32</x:f>
        <x:v>7</x:v>
      </x:c>
      <x:c r="B37" s="8" t="str">
        <x:f>'원본_RankAiEncounter'!C32</x:f>
        <x:v>Normal</x:v>
      </x:c>
      <x:c r="C37" s="8" t="str">
        <x:f>'원본_RankAiEncounter'!D32</x:f>
        <x:v>deck_22</x:v>
      </x:c>
      <x:c r="D37" s="8" t="n">
        <x:f>MAX(1,VLOOKUP(C37,'원본_AIDeck'!$B$2:$N$47,5,FALSE))</x:f>
        <x:v>1</x:v>
      </x:c>
      <x:c r="E37" s="8" t="n">
        <x:f>VLOOKUP(C37,'원본_AIDeck'!$B$2:$N$47,8,FALSE)</x:f>
        <x:v>5</x:v>
      </x:c>
      <x:c r="F37" s="8" t="n">
        <x:f>VLOOKUP(C37,'원본_AIDeck'!$B$2:$N$47,9,FALSE)</x:f>
        <x:v>12</x:v>
      </x:c>
      <x:c r="G37" s="8" t="n">
        <x:f>VLOOKUP(C37,'원본_AIDeck'!$B$2:$N$47,10,FALSE)</x:f>
        <x:v>29</x:v>
      </x:c>
      <x:c r="H37" s="8" t="n">
        <x:f>VLOOKUP(C37,'원본_AIDeck'!$B$2:$N$47,11,FALSE)</x:f>
        <x:v>20</x:v>
      </x:c>
      <x:c r="I37" s="8" t="n">
        <x:f>VLOOKUP(C37,'원본_AIDeck'!$B$2:$N$47,12,FALSE)</x:f>
        <x:v>28</x:v>
      </x:c>
      <x:c r="J37" s="8" t="n">
        <x:f>VLOOKUP(C37,'원본_AIDeck'!$B$2:$N$47,13,FALSE)</x:f>
        <x:v>6</x:v>
      </x:c>
      <x:c r="K37" s="8" t="n">
        <x:f>VLOOKUP(E37,'카드성장'!$A$7:$G$46,'원본_RankAiEncounter'!E32+2,FALSE)+SUMIF('원본_CardLimitBreak'!$B$2:$B$4,"&lt;="&amp;'원본_RankAiEncounter'!K32,'원본_CardLimitBreak'!$C$2:$C$4)</x:f>
        <x:v>20</x:v>
      </x:c>
      <x:c r="L37" s="8" t="n">
        <x:f>VLOOKUP(F37,'카드성장'!$A$7:$G$46,'원본_RankAiEncounter'!F32+2,FALSE)+SUMIF('원본_CardLimitBreak'!$B$2:$B$4,"&lt;="&amp;'원본_RankAiEncounter'!L32,'원본_CardLimitBreak'!$C$2:$C$4)</x:f>
        <x:v>18</x:v>
      </x:c>
      <x:c r="M37" s="8" t="n">
        <x:f>VLOOKUP(G37,'카드성장'!$A$7:$G$46,'원본_RankAiEncounter'!G32+2,FALSE)+SUMIF('원본_CardLimitBreak'!$B$2:$B$4,"&lt;="&amp;'원본_RankAiEncounter'!M32,'원본_CardLimitBreak'!$C$2:$C$4)</x:f>
        <x:v>7</x:v>
      </x:c>
      <x:c r="N37" s="8" t="n">
        <x:f>VLOOKUP(H37,'카드성장'!$A$7:$G$46,'원본_RankAiEncounter'!H32+2,FALSE)+SUMIF('원본_CardLimitBreak'!$B$2:$B$4,"&lt;="&amp;'원본_RankAiEncounter'!N32,'원본_CardLimitBreak'!$C$2:$C$4)</x:f>
        <x:v>8</x:v>
      </x:c>
      <x:c r="O37" s="8" t="n">
        <x:f>VLOOKUP(I37,'카드성장'!$A$7:$G$46,'원본_RankAiEncounter'!I32+2,FALSE)+SUMIF('원본_CardLimitBreak'!$B$2:$B$4,"&lt;="&amp;'원본_RankAiEncounter'!O32,'원본_CardLimitBreak'!$C$2:$C$4)</x:f>
        <x:v>10</x:v>
      </x:c>
      <x:c r="P37" s="8" t="n">
        <x:f>VLOOKUP(J37,'카드성장'!$A$7:$G$46,'원본_RankAiEncounter'!J32+2,FALSE)+SUMIF('원본_CardLimitBreak'!$B$2:$B$4,"&lt;="&amp;'원본_RankAiEncounter'!P32,'원본_CardLimitBreak'!$C$2:$C$4)</x:f>
        <x:v>10</x:v>
      </x:c>
      <x:c r="Q37" s="8" t="n">
        <x:f>SUM(K37:P37)</x:f>
        <x:v>73</x:v>
      </x:c>
      <x:c r="R37" s="8"/>
    </x:row>
    <x:row r="38" ht="23" customHeight="1">
      <x:c r="A38" s="8" t="n">
        <x:f>'원본_RankAiEncounter'!B33</x:f>
        <x:v>8</x:v>
      </x:c>
      <x:c r="B38" s="8" t="str">
        <x:f>'원본_RankAiEncounter'!C33</x:f>
        <x:v>Normal</x:v>
      </x:c>
      <x:c r="C38" s="8" t="str">
        <x:f>'원본_RankAiEncounter'!D33</x:f>
        <x:v>deck_19</x:v>
      </x:c>
      <x:c r="D38" s="8" t="n">
        <x:f>MAX(1,VLOOKUP(C38,'원본_AIDeck'!$B$2:$N$47,5,FALSE))</x:f>
        <x:v>1</x:v>
      </x:c>
      <x:c r="E38" s="8" t="n">
        <x:f>VLOOKUP(C38,'원본_AIDeck'!$B$2:$N$47,8,FALSE)</x:f>
        <x:v>31</x:v>
      </x:c>
      <x:c r="F38" s="8" t="n">
        <x:f>VLOOKUP(C38,'원본_AIDeck'!$B$2:$N$47,9,FALSE)</x:f>
        <x:v>37</x:v>
      </x:c>
      <x:c r="G38" s="8" t="n">
        <x:f>VLOOKUP(C38,'원본_AIDeck'!$B$2:$N$47,10,FALSE)</x:f>
        <x:v>29</x:v>
      </x:c>
      <x:c r="H38" s="8" t="n">
        <x:f>VLOOKUP(C38,'원본_AIDeck'!$B$2:$N$47,11,FALSE)</x:f>
        <x:v>20</x:v>
      </x:c>
      <x:c r="I38" s="8" t="n">
        <x:f>VLOOKUP(C38,'원본_AIDeck'!$B$2:$N$47,12,FALSE)</x:f>
        <x:v>6</x:v>
      </x:c>
      <x:c r="J38" s="8" t="n">
        <x:f>VLOOKUP(C38,'원본_AIDeck'!$B$2:$N$47,13,FALSE)</x:f>
        <x:v>27</x:v>
      </x:c>
      <x:c r="K38" s="8" t="n">
        <x:f>VLOOKUP(E38,'카드성장'!$A$7:$G$46,'원본_RankAiEncounter'!E33+2,FALSE)+SUMIF('원본_CardLimitBreak'!$B$2:$B$4,"&lt;="&amp;'원본_RankAiEncounter'!K33,'원본_CardLimitBreak'!$C$2:$C$4)</x:f>
        <x:v>18</x:v>
      </x:c>
      <x:c r="L38" s="8" t="n">
        <x:f>VLOOKUP(F38,'카드성장'!$A$7:$G$46,'원본_RankAiEncounter'!F33+2,FALSE)+SUMIF('원본_CardLimitBreak'!$B$2:$B$4,"&lt;="&amp;'원본_RankAiEncounter'!L33,'원본_CardLimitBreak'!$C$2:$C$4)</x:f>
        <x:v>17</x:v>
      </x:c>
      <x:c r="M38" s="8" t="n">
        <x:f>VLOOKUP(G38,'카드성장'!$A$7:$G$46,'원본_RankAiEncounter'!G33+2,FALSE)+SUMIF('원본_CardLimitBreak'!$B$2:$B$4,"&lt;="&amp;'원본_RankAiEncounter'!M33,'원본_CardLimitBreak'!$C$2:$C$4)</x:f>
        <x:v>16</x:v>
      </x:c>
      <x:c r="N38" s="8" t="n">
        <x:f>VLOOKUP(H38,'카드성장'!$A$7:$G$46,'원본_RankAiEncounter'!H33+2,FALSE)+SUMIF('원본_CardLimitBreak'!$B$2:$B$4,"&lt;="&amp;'원본_RankAiEncounter'!N33,'원본_CardLimitBreak'!$C$2:$C$4)</x:f>
        <x:v>8</x:v>
      </x:c>
      <x:c r="O38" s="8" t="n">
        <x:f>VLOOKUP(I38,'카드성장'!$A$7:$G$46,'원본_RankAiEncounter'!I33+2,FALSE)+SUMIF('원본_CardLimitBreak'!$B$2:$B$4,"&lt;="&amp;'원본_RankAiEncounter'!O33,'원본_CardLimitBreak'!$C$2:$C$4)</x:f>
        <x:v>10</x:v>
      </x:c>
      <x:c r="P38" s="8" t="n">
        <x:f>VLOOKUP(J38,'카드성장'!$A$7:$G$46,'원본_RankAiEncounter'!J33+2,FALSE)+SUMIF('원본_CardLimitBreak'!$B$2:$B$4,"&lt;="&amp;'원본_RankAiEncounter'!P33,'원본_CardLimitBreak'!$C$2:$C$4)</x:f>
        <x:v>7</x:v>
      </x:c>
      <x:c r="Q38" s="8" t="n">
        <x:f>SUM(K38:P38)</x:f>
        <x:v>76</x:v>
      </x:c>
      <x:c r="R38" s="8"/>
    </x:row>
    <x:row r="39" ht="23" customHeight="1">
      <x:c r="A39" s="8" t="n">
        <x:f>'원본_RankAiEncounter'!B34</x:f>
        <x:v>8</x:v>
      </x:c>
      <x:c r="B39" s="8" t="str">
        <x:f>'원본_RankAiEncounter'!C34</x:f>
        <x:v>Normal</x:v>
      </x:c>
      <x:c r="C39" s="8" t="str">
        <x:f>'원본_RankAiEncounter'!D34</x:f>
        <x:v>deck_20</x:v>
      </x:c>
      <x:c r="D39" s="8" t="n">
        <x:f>MAX(1,VLOOKUP(C39,'원본_AIDeck'!$B$2:$N$47,5,FALSE))</x:f>
        <x:v>1</x:v>
      </x:c>
      <x:c r="E39" s="8" t="n">
        <x:f>VLOOKUP(C39,'원본_AIDeck'!$B$2:$N$47,8,FALSE)</x:f>
        <x:v>6</x:v>
      </x:c>
      <x:c r="F39" s="8" t="n">
        <x:f>VLOOKUP(C39,'원본_AIDeck'!$B$2:$N$47,9,FALSE)</x:f>
        <x:v>38</x:v>
      </x:c>
      <x:c r="G39" s="8" t="n">
        <x:f>VLOOKUP(C39,'원본_AIDeck'!$B$2:$N$47,10,FALSE)</x:f>
        <x:v>20</x:v>
      </x:c>
      <x:c r="H39" s="8" t="n">
        <x:f>VLOOKUP(C39,'원본_AIDeck'!$B$2:$N$47,11,FALSE)</x:f>
        <x:v>30</x:v>
      </x:c>
      <x:c r="I39" s="8" t="n">
        <x:f>VLOOKUP(C39,'원본_AIDeck'!$B$2:$N$47,12,FALSE)</x:f>
        <x:v>23</x:v>
      </x:c>
      <x:c r="J39" s="8" t="n">
        <x:f>VLOOKUP(C39,'원본_AIDeck'!$B$2:$N$47,13,FALSE)</x:f>
        <x:v>27</x:v>
      </x:c>
      <x:c r="K39" s="8" t="n">
        <x:f>VLOOKUP(E39,'카드성장'!$A$7:$G$46,'원본_RankAiEncounter'!E34+2,FALSE)+SUMIF('원본_CardLimitBreak'!$B$2:$B$4,"&lt;="&amp;'원본_RankAiEncounter'!K34,'원본_CardLimitBreak'!$C$2:$C$4)</x:f>
        <x:v>20</x:v>
      </x:c>
      <x:c r="L39" s="8" t="n">
        <x:f>VLOOKUP(F39,'카드성장'!$A$7:$G$46,'원본_RankAiEncounter'!F34+2,FALSE)+SUMIF('원본_CardLimitBreak'!$B$2:$B$4,"&lt;="&amp;'원본_RankAiEncounter'!L34,'원본_CardLimitBreak'!$C$2:$C$4)</x:f>
        <x:v>18</x:v>
      </x:c>
      <x:c r="M39" s="8" t="n">
        <x:f>VLOOKUP(G39,'카드성장'!$A$7:$G$46,'원본_RankAiEncounter'!G34+2,FALSE)+SUMIF('원본_CardLimitBreak'!$B$2:$B$4,"&lt;="&amp;'원본_RankAiEncounter'!M34,'원본_CardLimitBreak'!$C$2:$C$4)</x:f>
        <x:v>18</x:v>
      </x:c>
      <x:c r="N39" s="8" t="n">
        <x:f>VLOOKUP(H39,'카드성장'!$A$7:$G$46,'원본_RankAiEncounter'!H34+2,FALSE)+SUMIF('원본_CardLimitBreak'!$B$2:$B$4,"&lt;="&amp;'원본_RankAiEncounter'!N34,'원본_CardLimitBreak'!$C$2:$C$4)</x:f>
        <x:v>8</x:v>
      </x:c>
      <x:c r="O39" s="8" t="n">
        <x:f>VLOOKUP(I39,'카드성장'!$A$7:$G$46,'원본_RankAiEncounter'!I34+2,FALSE)+SUMIF('원본_CardLimitBreak'!$B$2:$B$4,"&lt;="&amp;'원본_RankAiEncounter'!O34,'원본_CardLimitBreak'!$C$2:$C$4)</x:f>
        <x:v>9</x:v>
      </x:c>
      <x:c r="P39" s="8" t="n">
        <x:f>VLOOKUP(J39,'카드성장'!$A$7:$G$46,'원본_RankAiEncounter'!J34+2,FALSE)+SUMIF('원본_CardLimitBreak'!$B$2:$B$4,"&lt;="&amp;'원본_RankAiEncounter'!P34,'원본_CardLimitBreak'!$C$2:$C$4)</x:f>
        <x:v>7</x:v>
      </x:c>
      <x:c r="Q39" s="8" t="n">
        <x:f>SUM(K39:P39)</x:f>
        <x:v>80</x:v>
      </x:c>
      <x:c r="R39" s="8"/>
    </x:row>
    <x:row r="40" ht="23" customHeight="1">
      <x:c r="A40" s="8" t="n">
        <x:f>'원본_RankAiEncounter'!B35</x:f>
        <x:v>8</x:v>
      </x:c>
      <x:c r="B40" s="8" t="str">
        <x:f>'원본_RankAiEncounter'!C35</x:f>
        <x:v>Normal</x:v>
      </x:c>
      <x:c r="C40" s="8" t="str">
        <x:f>'원본_RankAiEncounter'!D35</x:f>
        <x:v>deck_21</x:v>
      </x:c>
      <x:c r="D40" s="8" t="n">
        <x:f>MAX(1,VLOOKUP(C40,'원본_AIDeck'!$B$2:$N$47,5,FALSE))</x:f>
        <x:v>1</x:v>
      </x:c>
      <x:c r="E40" s="8" t="n">
        <x:f>VLOOKUP(C40,'원본_AIDeck'!$B$2:$N$47,8,FALSE)</x:f>
        <x:v>17</x:v>
      </x:c>
      <x:c r="F40" s="8" t="n">
        <x:f>VLOOKUP(C40,'원본_AIDeck'!$B$2:$N$47,9,FALSE)</x:f>
        <x:v>18</x:v>
      </x:c>
      <x:c r="G40" s="8" t="n">
        <x:f>VLOOKUP(C40,'원본_AIDeck'!$B$2:$N$47,10,FALSE)</x:f>
        <x:v>6</x:v>
      </x:c>
      <x:c r="H40" s="8" t="n">
        <x:f>VLOOKUP(C40,'원본_AIDeck'!$B$2:$N$47,11,FALSE)</x:f>
        <x:v>19</x:v>
      </x:c>
      <x:c r="I40" s="8" t="n">
        <x:f>VLOOKUP(C40,'원본_AIDeck'!$B$2:$N$47,12,FALSE)</x:f>
        <x:v>13</x:v>
      </x:c>
      <x:c r="J40" s="8" t="n">
        <x:f>VLOOKUP(C40,'원본_AIDeck'!$B$2:$N$47,13,FALSE)</x:f>
        <x:v>14</x:v>
      </x:c>
      <x:c r="K40" s="8" t="n">
        <x:f>VLOOKUP(E40,'카드성장'!$A$7:$G$46,'원본_RankAiEncounter'!E35+2,FALSE)+SUMIF('원본_CardLimitBreak'!$B$2:$B$4,"&lt;="&amp;'원본_RankAiEncounter'!K35,'원본_CardLimitBreak'!$C$2:$C$4)</x:f>
        <x:v>15</x:v>
      </x:c>
      <x:c r="L40" s="8" t="n">
        <x:f>VLOOKUP(F40,'카드성장'!$A$7:$G$46,'원본_RankAiEncounter'!F35+2,FALSE)+SUMIF('원본_CardLimitBreak'!$B$2:$B$4,"&lt;="&amp;'원본_RankAiEncounter'!L35,'원본_CardLimitBreak'!$C$2:$C$4)</x:f>
        <x:v>14</x:v>
      </x:c>
      <x:c r="M40" s="8" t="n">
        <x:f>VLOOKUP(G40,'카드성장'!$A$7:$G$46,'원본_RankAiEncounter'!G35+2,FALSE)+SUMIF('원본_CardLimitBreak'!$B$2:$B$4,"&lt;="&amp;'원본_RankAiEncounter'!M35,'원본_CardLimitBreak'!$C$2:$C$4)</x:f>
        <x:v>10</x:v>
      </x:c>
      <x:c r="N40" s="8" t="n">
        <x:f>VLOOKUP(H40,'카드성장'!$A$7:$G$46,'원본_RankAiEncounter'!H35+2,FALSE)+SUMIF('원본_CardLimitBreak'!$B$2:$B$4,"&lt;="&amp;'원본_RankAiEncounter'!N35,'원본_CardLimitBreak'!$C$2:$C$4)</x:f>
        <x:v>16</x:v>
      </x:c>
      <x:c r="O40" s="8" t="n">
        <x:f>VLOOKUP(I40,'카드성장'!$A$7:$G$46,'원본_RankAiEncounter'!I35+2,FALSE)+SUMIF('원본_CardLimitBreak'!$B$2:$B$4,"&lt;="&amp;'원본_RankAiEncounter'!O35,'원본_CardLimitBreak'!$C$2:$C$4)</x:f>
        <x:v>9</x:v>
      </x:c>
      <x:c r="P40" s="8" t="n">
        <x:f>VLOOKUP(J40,'카드성장'!$A$7:$G$46,'원본_RankAiEncounter'!J35+2,FALSE)+SUMIF('원본_CardLimitBreak'!$B$2:$B$4,"&lt;="&amp;'원본_RankAiEncounter'!P35,'원본_CardLimitBreak'!$C$2:$C$4)</x:f>
        <x:v>8</x:v>
      </x:c>
      <x:c r="Q40" s="8" t="n">
        <x:f>SUM(K40:P40)</x:f>
        <x:v>72</x:v>
      </x:c>
      <x:c r="R40" s="8"/>
    </x:row>
    <x:row r="41" ht="23" customHeight="1">
      <x:c r="A41" s="8" t="n">
        <x:f>'원본_RankAiEncounter'!B36</x:f>
        <x:v>8</x:v>
      </x:c>
      <x:c r="B41" s="8" t="str">
        <x:f>'원본_RankAiEncounter'!C36</x:f>
        <x:v>Normal</x:v>
      </x:c>
      <x:c r="C41" s="8" t="str">
        <x:f>'원본_RankAiEncounter'!D36</x:f>
        <x:v>deck_22</x:v>
      </x:c>
      <x:c r="D41" s="8" t="n">
        <x:f>MAX(1,VLOOKUP(C41,'원본_AIDeck'!$B$2:$N$47,5,FALSE))</x:f>
        <x:v>1</x:v>
      </x:c>
      <x:c r="E41" s="8" t="n">
        <x:f>VLOOKUP(C41,'원본_AIDeck'!$B$2:$N$47,8,FALSE)</x:f>
        <x:v>5</x:v>
      </x:c>
      <x:c r="F41" s="8" t="n">
        <x:f>VLOOKUP(C41,'원본_AIDeck'!$B$2:$N$47,9,FALSE)</x:f>
        <x:v>12</x:v>
      </x:c>
      <x:c r="G41" s="8" t="n">
        <x:f>VLOOKUP(C41,'원본_AIDeck'!$B$2:$N$47,10,FALSE)</x:f>
        <x:v>29</x:v>
      </x:c>
      <x:c r="H41" s="8" t="n">
        <x:f>VLOOKUP(C41,'원본_AIDeck'!$B$2:$N$47,11,FALSE)</x:f>
        <x:v>20</x:v>
      </x:c>
      <x:c r="I41" s="8" t="n">
        <x:f>VLOOKUP(C41,'원본_AIDeck'!$B$2:$N$47,12,FALSE)</x:f>
        <x:v>28</x:v>
      </x:c>
      <x:c r="J41" s="8" t="n">
        <x:f>VLOOKUP(C41,'원본_AIDeck'!$B$2:$N$47,13,FALSE)</x:f>
        <x:v>6</x:v>
      </x:c>
      <x:c r="K41" s="8" t="n">
        <x:f>VLOOKUP(E41,'카드성장'!$A$7:$G$46,'원본_RankAiEncounter'!E36+2,FALSE)+SUMIF('원본_CardLimitBreak'!$B$2:$B$4,"&lt;="&amp;'원본_RankAiEncounter'!K36,'원본_CardLimitBreak'!$C$2:$C$4)</x:f>
        <x:v>20</x:v>
      </x:c>
      <x:c r="L41" s="8" t="n">
        <x:f>VLOOKUP(F41,'카드성장'!$A$7:$G$46,'원본_RankAiEncounter'!F36+2,FALSE)+SUMIF('원본_CardLimitBreak'!$B$2:$B$4,"&lt;="&amp;'원본_RankAiEncounter'!L36,'원본_CardLimitBreak'!$C$2:$C$4)</x:f>
        <x:v>18</x:v>
      </x:c>
      <x:c r="M41" s="8" t="n">
        <x:f>VLOOKUP(G41,'카드성장'!$A$7:$G$46,'원본_RankAiEncounter'!G36+2,FALSE)+SUMIF('원본_CardLimitBreak'!$B$2:$B$4,"&lt;="&amp;'원본_RankAiEncounter'!M36,'원본_CardLimitBreak'!$C$2:$C$4)</x:f>
        <x:v>16</x:v>
      </x:c>
      <x:c r="N41" s="8" t="n">
        <x:f>VLOOKUP(H41,'카드성장'!$A$7:$G$46,'원본_RankAiEncounter'!H36+2,FALSE)+SUMIF('원본_CardLimitBreak'!$B$2:$B$4,"&lt;="&amp;'원본_RankAiEncounter'!N36,'원본_CardLimitBreak'!$C$2:$C$4)</x:f>
        <x:v>8</x:v>
      </x:c>
      <x:c r="O41" s="8" t="n">
        <x:f>VLOOKUP(I41,'카드성장'!$A$7:$G$46,'원본_RankAiEncounter'!I36+2,FALSE)+SUMIF('원본_CardLimitBreak'!$B$2:$B$4,"&lt;="&amp;'원본_RankAiEncounter'!O36,'원본_CardLimitBreak'!$C$2:$C$4)</x:f>
        <x:v>10</x:v>
      </x:c>
      <x:c r="P41" s="8" t="n">
        <x:f>VLOOKUP(J41,'카드성장'!$A$7:$G$46,'원본_RankAiEncounter'!J36+2,FALSE)+SUMIF('원본_CardLimitBreak'!$B$2:$B$4,"&lt;="&amp;'원본_RankAiEncounter'!P36,'원본_CardLimitBreak'!$C$2:$C$4)</x:f>
        <x:v>10</x:v>
      </x:c>
      <x:c r="Q41" s="8" t="n">
        <x:f>SUM(K41:P41)</x:f>
        <x:v>82</x:v>
      </x:c>
      <x:c r="R41" s="8"/>
    </x:row>
    <x:row r="42" ht="23" customHeight="1">
      <x:c r="A42" s="8" t="n">
        <x:f>'원본_RankAiEncounter'!B37</x:f>
        <x:v>9</x:v>
      </x:c>
      <x:c r="B42" s="8" t="str">
        <x:f>'원본_RankAiEncounter'!C37</x:f>
        <x:v>Normal</x:v>
      </x:c>
      <x:c r="C42" s="8" t="str">
        <x:f>'원본_RankAiEncounter'!D37</x:f>
        <x:v>deck_01</x:v>
      </x:c>
      <x:c r="D42" s="8" t="n">
        <x:f>MAX(1,VLOOKUP(C42,'원본_AIDeck'!$B$2:$N$47,5,FALSE))</x:f>
        <x:v>1</x:v>
      </x:c>
      <x:c r="E42" s="8" t="n">
        <x:f>VLOOKUP(C42,'원본_AIDeck'!$B$2:$N$47,8,FALSE)</x:f>
        <x:v>20</x:v>
      </x:c>
      <x:c r="F42" s="8" t="n">
        <x:f>VLOOKUP(C42,'원본_AIDeck'!$B$2:$N$47,9,FALSE)</x:f>
        <x:v>18</x:v>
      </x:c>
      <x:c r="G42" s="8" t="n">
        <x:f>VLOOKUP(C42,'원본_AIDeck'!$B$2:$N$47,10,FALSE)</x:f>
        <x:v>19</x:v>
      </x:c>
      <x:c r="H42" s="8" t="n">
        <x:f>VLOOKUP(C42,'원본_AIDeck'!$B$2:$N$47,11,FALSE)</x:f>
        <x:v>6</x:v>
      </x:c>
      <x:c r="I42" s="8" t="n">
        <x:f>VLOOKUP(C42,'원본_AIDeck'!$B$2:$N$47,12,FALSE)</x:f>
        <x:v>13</x:v>
      </x:c>
      <x:c r="J42" s="8" t="n">
        <x:f>VLOOKUP(C42,'원본_AIDeck'!$B$2:$N$47,13,FALSE)</x:f>
        <x:v>14</x:v>
      </x:c>
      <x:c r="K42" s="8" t="n">
        <x:f>VLOOKUP(E42,'카드성장'!$A$7:$G$46,'원본_RankAiEncounter'!E37+2,FALSE)+SUMIF('원본_CardLimitBreak'!$B$2:$B$4,"&lt;="&amp;'원본_RankAiEncounter'!K37,'원본_CardLimitBreak'!$C$2:$C$4)</x:f>
        <x:v>18</x:v>
      </x:c>
      <x:c r="L42" s="8" t="n">
        <x:f>VLOOKUP(F42,'카드성장'!$A$7:$G$46,'원본_RankAiEncounter'!F37+2,FALSE)+SUMIF('원본_CardLimitBreak'!$B$2:$B$4,"&lt;="&amp;'원본_RankAiEncounter'!L37,'원본_CardLimitBreak'!$C$2:$C$4)</x:f>
        <x:v>7</x:v>
      </x:c>
      <x:c r="M42" s="8" t="n">
        <x:f>VLOOKUP(G42,'카드성장'!$A$7:$G$46,'원본_RankAiEncounter'!G37+2,FALSE)+SUMIF('원본_CardLimitBreak'!$B$2:$B$4,"&lt;="&amp;'원본_RankAiEncounter'!M37,'원본_CardLimitBreak'!$C$2:$C$4)</x:f>
        <x:v>16</x:v>
      </x:c>
      <x:c r="N42" s="8" t="n">
        <x:f>VLOOKUP(H42,'카드성장'!$A$7:$G$46,'원본_RankAiEncounter'!H37+2,FALSE)+SUMIF('원본_CardLimitBreak'!$B$2:$B$4,"&lt;="&amp;'원본_RankAiEncounter'!N37,'원본_CardLimitBreak'!$C$2:$C$4)</x:f>
        <x:v>10</x:v>
      </x:c>
      <x:c r="O42" s="8" t="n">
        <x:f>VLOOKUP(I42,'카드성장'!$A$7:$G$46,'원본_RankAiEncounter'!I37+2,FALSE)+SUMIF('원본_CardLimitBreak'!$B$2:$B$4,"&lt;="&amp;'원본_RankAiEncounter'!O37,'원본_CardLimitBreak'!$C$2:$C$4)</x:f>
        <x:v>9</x:v>
      </x:c>
      <x:c r="P42" s="8" t="n">
        <x:f>VLOOKUP(J42,'카드성장'!$A$7:$G$46,'원본_RankAiEncounter'!J37+2,FALSE)+SUMIF('원본_CardLimitBreak'!$B$2:$B$4,"&lt;="&amp;'원본_RankAiEncounter'!P37,'원본_CardLimitBreak'!$C$2:$C$4)</x:f>
        <x:v>17</x:v>
      </x:c>
      <x:c r="Q42" s="8" t="n">
        <x:f>SUM(K42:P42)</x:f>
        <x:v>77</x:v>
      </x:c>
      <x:c r="R42" s="8"/>
    </x:row>
    <x:row r="43" ht="23" customHeight="1">
      <x:c r="A43" s="8" t="n">
        <x:f>'원본_RankAiEncounter'!B38</x:f>
        <x:v>9</x:v>
      </x:c>
      <x:c r="B43" s="8" t="str">
        <x:f>'원본_RankAiEncounter'!C38</x:f>
        <x:v>Normal</x:v>
      </x:c>
      <x:c r="C43" s="8" t="str">
        <x:f>'원본_RankAiEncounter'!D38</x:f>
        <x:v>deck_02</x:v>
      </x:c>
      <x:c r="D43" s="8" t="n">
        <x:f>MAX(1,VLOOKUP(C43,'원본_AIDeck'!$B$2:$N$47,5,FALSE))</x:f>
        <x:v>1</x:v>
      </x:c>
      <x:c r="E43" s="8" t="n">
        <x:f>VLOOKUP(C43,'원본_AIDeck'!$B$2:$N$47,8,FALSE)</x:f>
        <x:v>20</x:v>
      </x:c>
      <x:c r="F43" s="8" t="n">
        <x:f>VLOOKUP(C43,'원본_AIDeck'!$B$2:$N$47,9,FALSE)</x:f>
        <x:v>18</x:v>
      </x:c>
      <x:c r="G43" s="8" t="n">
        <x:f>VLOOKUP(C43,'원본_AIDeck'!$B$2:$N$47,10,FALSE)</x:f>
        <x:v>19</x:v>
      </x:c>
      <x:c r="H43" s="8" t="n">
        <x:f>VLOOKUP(C43,'원본_AIDeck'!$B$2:$N$47,11,FALSE)</x:f>
        <x:v>4</x:v>
      </x:c>
      <x:c r="I43" s="8" t="n">
        <x:f>VLOOKUP(C43,'원본_AIDeck'!$B$2:$N$47,12,FALSE)</x:f>
        <x:v>37</x:v>
      </x:c>
      <x:c r="J43" s="8" t="n">
        <x:f>VLOOKUP(C43,'원본_AIDeck'!$B$2:$N$47,13,FALSE)</x:f>
        <x:v>31</x:v>
      </x:c>
      <x:c r="K43" s="8" t="n">
        <x:f>VLOOKUP(E43,'카드성장'!$A$7:$G$46,'원본_RankAiEncounter'!E38+2,FALSE)+SUMIF('원본_CardLimitBreak'!$B$2:$B$4,"&lt;="&amp;'원본_RankAiEncounter'!K38,'원본_CardLimitBreak'!$C$2:$C$4)</x:f>
        <x:v>18</x:v>
      </x:c>
      <x:c r="L43" s="8" t="n">
        <x:f>VLOOKUP(F43,'카드성장'!$A$7:$G$46,'원본_RankAiEncounter'!F38+2,FALSE)+SUMIF('원본_CardLimitBreak'!$B$2:$B$4,"&lt;="&amp;'원본_RankAiEncounter'!L38,'원본_CardLimitBreak'!$C$2:$C$4)</x:f>
        <x:v>7</x:v>
      </x:c>
      <x:c r="M43" s="8" t="n">
        <x:f>VLOOKUP(G43,'카드성장'!$A$7:$G$46,'원본_RankAiEncounter'!G38+2,FALSE)+SUMIF('원본_CardLimitBreak'!$B$2:$B$4,"&lt;="&amp;'원본_RankAiEncounter'!M38,'원본_CardLimitBreak'!$C$2:$C$4)</x:f>
        <x:v>16</x:v>
      </x:c>
      <x:c r="N43" s="8" t="n">
        <x:f>VLOOKUP(H43,'카드성장'!$A$7:$G$46,'원본_RankAiEncounter'!H38+2,FALSE)+SUMIF('원본_CardLimitBreak'!$B$2:$B$4,"&lt;="&amp;'원본_RankAiEncounter'!N38,'원본_CardLimitBreak'!$C$2:$C$4)</x:f>
        <x:v>9</x:v>
      </x:c>
      <x:c r="O43" s="8" t="n">
        <x:f>VLOOKUP(I43,'카드성장'!$A$7:$G$46,'원본_RankAiEncounter'!I38+2,FALSE)+SUMIF('원본_CardLimitBreak'!$B$2:$B$4,"&lt;="&amp;'원본_RankAiEncounter'!O38,'원본_CardLimitBreak'!$C$2:$C$4)</x:f>
        <x:v>17</x:v>
      </x:c>
      <x:c r="P43" s="8" t="n">
        <x:f>VLOOKUP(J43,'카드성장'!$A$7:$G$46,'원본_RankAiEncounter'!J38+2,FALSE)+SUMIF('원본_CardLimitBreak'!$B$2:$B$4,"&lt;="&amp;'원본_RankAiEncounter'!P38,'원본_CardLimitBreak'!$C$2:$C$4)</x:f>
        <x:v>9</x:v>
      </x:c>
      <x:c r="Q43" s="8" t="n">
        <x:f>SUM(K43:P43)</x:f>
        <x:v>76</x:v>
      </x:c>
      <x:c r="R43" s="8"/>
    </x:row>
    <x:row r="44" ht="23" customHeight="1">
      <x:c r="A44" s="8" t="n">
        <x:f>'원본_RankAiEncounter'!B39</x:f>
        <x:v>9</x:v>
      </x:c>
      <x:c r="B44" s="8" t="str">
        <x:f>'원본_RankAiEncounter'!C39</x:f>
        <x:v>Normal</x:v>
      </x:c>
      <x:c r="C44" s="8" t="str">
        <x:f>'원본_RankAiEncounter'!D39</x:f>
        <x:v>deck_03</x:v>
      </x:c>
      <x:c r="D44" s="8" t="n">
        <x:f>MAX(1,VLOOKUP(C44,'원본_AIDeck'!$B$2:$N$47,5,FALSE))</x:f>
        <x:v>1</x:v>
      </x:c>
      <x:c r="E44" s="8" t="n">
        <x:f>VLOOKUP(C44,'원본_AIDeck'!$B$2:$N$47,8,FALSE)</x:f>
        <x:v>4</x:v>
      </x:c>
      <x:c r="F44" s="8" t="n">
        <x:f>VLOOKUP(C44,'원본_AIDeck'!$B$2:$N$47,9,FALSE)</x:f>
        <x:v>2</x:v>
      </x:c>
      <x:c r="G44" s="8" t="n">
        <x:f>VLOOKUP(C44,'원본_AIDeck'!$B$2:$N$47,10,FALSE)</x:f>
        <x:v>1</x:v>
      </x:c>
      <x:c r="H44" s="8" t="n">
        <x:f>VLOOKUP(C44,'원본_AIDeck'!$B$2:$N$47,11,FALSE)</x:f>
        <x:v>6</x:v>
      </x:c>
      <x:c r="I44" s="8" t="n">
        <x:f>VLOOKUP(C44,'원본_AIDeck'!$B$2:$N$47,12,FALSE)</x:f>
        <x:v>28</x:v>
      </x:c>
      <x:c r="J44" s="8" t="n">
        <x:f>VLOOKUP(C44,'원본_AIDeck'!$B$2:$N$47,13,FALSE)</x:f>
        <x:v>12</x:v>
      </x:c>
      <x:c r="K44" s="8" t="n">
        <x:f>VLOOKUP(E44,'카드성장'!$A$7:$G$46,'원본_RankAiEncounter'!E39+2,FALSE)+SUMIF('원본_CardLimitBreak'!$B$2:$B$4,"&lt;="&amp;'원본_RankAiEncounter'!K39,'원본_CardLimitBreak'!$C$2:$C$4)</x:f>
        <x:v>18</x:v>
      </x:c>
      <x:c r="L44" s="8" t="n">
        <x:f>VLOOKUP(F44,'카드성장'!$A$7:$G$46,'원본_RankAiEncounter'!F39+2,FALSE)+SUMIF('원본_CardLimitBreak'!$B$2:$B$4,"&lt;="&amp;'원본_RankAiEncounter'!L39,'원본_CardLimitBreak'!$C$2:$C$4)</x:f>
        <x:v>14</x:v>
      </x:c>
      <x:c r="M44" s="8" t="n">
        <x:f>VLOOKUP(G44,'카드성장'!$A$7:$G$46,'원본_RankAiEncounter'!G39+2,FALSE)+SUMIF('원본_CardLimitBreak'!$B$2:$B$4,"&lt;="&amp;'원본_RankAiEncounter'!M39,'원본_CardLimitBreak'!$C$2:$C$4)</x:f>
        <x:v>6</x:v>
      </x:c>
      <x:c r="N44" s="8" t="n">
        <x:f>VLOOKUP(H44,'카드성장'!$A$7:$G$46,'원본_RankAiEncounter'!H39+2,FALSE)+SUMIF('원본_CardLimitBreak'!$B$2:$B$4,"&lt;="&amp;'원본_RankAiEncounter'!N39,'원본_CardLimitBreak'!$C$2:$C$4)</x:f>
        <x:v>10</x:v>
      </x:c>
      <x:c r="O44" s="8" t="n">
        <x:f>VLOOKUP(I44,'카드성장'!$A$7:$G$46,'원본_RankAiEncounter'!I39+2,FALSE)+SUMIF('원본_CardLimitBreak'!$B$2:$B$4,"&lt;="&amp;'원본_RankAiEncounter'!O39,'원본_CardLimitBreak'!$C$2:$C$4)</x:f>
        <x:v>10</x:v>
      </x:c>
      <x:c r="P44" s="8" t="n">
        <x:f>VLOOKUP(J44,'카드성장'!$A$7:$G$46,'원본_RankAiEncounter'!J39+2,FALSE)+SUMIF('원본_CardLimitBreak'!$B$2:$B$4,"&lt;="&amp;'원본_RankAiEncounter'!P39,'원본_CardLimitBreak'!$C$2:$C$4)</x:f>
        <x:v>18</x:v>
      </x:c>
      <x:c r="Q44" s="8" t="n">
        <x:f>SUM(K44:P44)</x:f>
        <x:v>76</x:v>
      </x:c>
      <x:c r="R44" s="8"/>
    </x:row>
    <x:row r="45" ht="23" customHeight="1">
      <x:c r="A45" s="8" t="n">
        <x:f>'원본_RankAiEncounter'!B40</x:f>
        <x:v>9</x:v>
      </x:c>
      <x:c r="B45" s="8" t="str">
        <x:f>'원본_RankAiEncounter'!C40</x:f>
        <x:v>Normal</x:v>
      </x:c>
      <x:c r="C45" s="8" t="str">
        <x:f>'원본_RankAiEncounter'!D40</x:f>
        <x:v>deck_04</x:v>
      </x:c>
      <x:c r="D45" s="8" t="n">
        <x:f>MAX(1,VLOOKUP(C45,'원본_AIDeck'!$B$2:$N$47,5,FALSE))</x:f>
        <x:v>1</x:v>
      </x:c>
      <x:c r="E45" s="8" t="n">
        <x:f>VLOOKUP(C45,'원본_AIDeck'!$B$2:$N$47,8,FALSE)</x:f>
        <x:v>4</x:v>
      </x:c>
      <x:c r="F45" s="8" t="n">
        <x:f>VLOOKUP(C45,'원본_AIDeck'!$B$2:$N$47,9,FALSE)</x:f>
        <x:v>2</x:v>
      </x:c>
      <x:c r="G45" s="8" t="n">
        <x:f>VLOOKUP(C45,'원본_AIDeck'!$B$2:$N$47,10,FALSE)</x:f>
        <x:v>32</x:v>
      </x:c>
      <x:c r="H45" s="8" t="n">
        <x:f>VLOOKUP(C45,'원본_AIDeck'!$B$2:$N$47,11,FALSE)</x:f>
        <x:v>27</x:v>
      </x:c>
      <x:c r="I45" s="8" t="n">
        <x:f>VLOOKUP(C45,'원본_AIDeck'!$B$2:$N$47,12,FALSE)</x:f>
        <x:v>6</x:v>
      </x:c>
      <x:c r="J45" s="8" t="n">
        <x:f>VLOOKUP(C45,'원본_AIDeck'!$B$2:$N$47,13,FALSE)</x:f>
        <x:v>38</x:v>
      </x:c>
      <x:c r="K45" s="8" t="n">
        <x:f>VLOOKUP(E45,'카드성장'!$A$7:$G$46,'원본_RankAiEncounter'!E40+2,FALSE)+SUMIF('원본_CardLimitBreak'!$B$2:$B$4,"&lt;="&amp;'원본_RankAiEncounter'!K40,'원본_CardLimitBreak'!$C$2:$C$4)</x:f>
        <x:v>18</x:v>
      </x:c>
      <x:c r="L45" s="8" t="n">
        <x:f>VLOOKUP(F45,'카드성장'!$A$7:$G$46,'원본_RankAiEncounter'!F40+2,FALSE)+SUMIF('원본_CardLimitBreak'!$B$2:$B$4,"&lt;="&amp;'원본_RankAiEncounter'!L40,'원본_CardLimitBreak'!$C$2:$C$4)</x:f>
        <x:v>14</x:v>
      </x:c>
      <x:c r="M45" s="8" t="n">
        <x:f>VLOOKUP(G45,'카드성장'!$A$7:$G$46,'원본_RankAiEncounter'!G40+2,FALSE)+SUMIF('원본_CardLimitBreak'!$B$2:$B$4,"&lt;="&amp;'원본_RankAiEncounter'!M40,'원본_CardLimitBreak'!$C$2:$C$4)</x:f>
        <x:v>8</x:v>
      </x:c>
      <x:c r="N45" s="8" t="n">
        <x:f>VLOOKUP(H45,'카드성장'!$A$7:$G$46,'원본_RankAiEncounter'!H40+2,FALSE)+SUMIF('원본_CardLimitBreak'!$B$2:$B$4,"&lt;="&amp;'원본_RankAiEncounter'!N40,'원본_CardLimitBreak'!$C$2:$C$4)</x:f>
        <x:v>7</x:v>
      </x:c>
      <x:c r="O45" s="8" t="n">
        <x:f>VLOOKUP(I45,'카드성장'!$A$7:$G$46,'원본_RankAiEncounter'!I40+2,FALSE)+SUMIF('원본_CardLimitBreak'!$B$2:$B$4,"&lt;="&amp;'원본_RankAiEncounter'!O40,'원본_CardLimitBreak'!$C$2:$C$4)</x:f>
        <x:v>10</x:v>
      </x:c>
      <x:c r="P45" s="8" t="n">
        <x:f>VLOOKUP(J45,'카드성장'!$A$7:$G$46,'원본_RankAiEncounter'!J40+2,FALSE)+SUMIF('원본_CardLimitBreak'!$B$2:$B$4,"&lt;="&amp;'원본_RankAiEncounter'!P40,'원본_CardLimitBreak'!$C$2:$C$4)</x:f>
        <x:v>18</x:v>
      </x:c>
      <x:c r="Q45" s="8" t="n">
        <x:f>SUM(K45:P45)</x:f>
        <x:v>75</x:v>
      </x:c>
      <x:c r="R45" s="8"/>
    </x:row>
    <x:row r="46" ht="23" customHeight="1">
      <x:c r="A46" s="8" t="n">
        <x:f>'원본_RankAiEncounter'!B41</x:f>
        <x:v>9</x:v>
      </x:c>
      <x:c r="B46" s="8" t="str">
        <x:f>'원본_RankAiEncounter'!C41</x:f>
        <x:v>Normal</x:v>
      </x:c>
      <x:c r="C46" s="8" t="str">
        <x:f>'원본_RankAiEncounter'!D41</x:f>
        <x:v>deck_05</x:v>
      </x:c>
      <x:c r="D46" s="8" t="n">
        <x:f>MAX(1,VLOOKUP(C46,'원본_AIDeck'!$B$2:$N$47,5,FALSE))</x:f>
        <x:v>1</x:v>
      </x:c>
      <x:c r="E46" s="8" t="n">
        <x:f>VLOOKUP(C46,'원본_AIDeck'!$B$2:$N$47,8,FALSE)</x:f>
        <x:v>15</x:v>
      </x:c>
      <x:c r="F46" s="8" t="n">
        <x:f>VLOOKUP(C46,'원본_AIDeck'!$B$2:$N$47,9,FALSE)</x:f>
        <x:v>16</x:v>
      </x:c>
      <x:c r="G46" s="8" t="n">
        <x:f>VLOOKUP(C46,'원본_AIDeck'!$B$2:$N$47,10,FALSE)</x:f>
        <x:v>25</x:v>
      </x:c>
      <x:c r="H46" s="8" t="n">
        <x:f>VLOOKUP(C46,'원본_AIDeck'!$B$2:$N$47,11,FALSE)</x:f>
        <x:v>20</x:v>
      </x:c>
      <x:c r="I46" s="8" t="n">
        <x:f>VLOOKUP(C46,'원본_AIDeck'!$B$2:$N$47,12,FALSE)</x:f>
        <x:v>29</x:v>
      </x:c>
      <x:c r="J46" s="8" t="n">
        <x:f>VLOOKUP(C46,'원본_AIDeck'!$B$2:$N$47,13,FALSE)</x:f>
        <x:v>37</x:v>
      </x:c>
      <x:c r="K46" s="8" t="n">
        <x:f>VLOOKUP(E46,'카드성장'!$A$7:$G$46,'원본_RankAiEncounter'!E41+2,FALSE)+SUMIF('원본_CardLimitBreak'!$B$2:$B$4,"&lt;="&amp;'원본_RankAiEncounter'!K41,'원본_CardLimitBreak'!$C$2:$C$4)</x:f>
        <x:v>15</x:v>
      </x:c>
      <x:c r="L46" s="8" t="n">
        <x:f>VLOOKUP(F46,'카드성장'!$A$7:$G$46,'원본_RankAiEncounter'!F41+2,FALSE)+SUMIF('원본_CardLimitBreak'!$B$2:$B$4,"&lt;="&amp;'원본_RankAiEncounter'!L41,'원본_CardLimitBreak'!$C$2:$C$4)</x:f>
        <x:v>7</x:v>
      </x:c>
      <x:c r="M46" s="8" t="n">
        <x:f>VLOOKUP(G46,'카드성장'!$A$7:$G$46,'원본_RankAiEncounter'!G41+2,FALSE)+SUMIF('원본_CardLimitBreak'!$B$2:$B$4,"&lt;="&amp;'원본_RankAiEncounter'!M41,'원본_CardLimitBreak'!$C$2:$C$4)</x:f>
        <x:v>17</x:v>
      </x:c>
      <x:c r="N46" s="8" t="n">
        <x:f>VLOOKUP(H46,'카드성장'!$A$7:$G$46,'원본_RankAiEncounter'!H41+2,FALSE)+SUMIF('원본_CardLimitBreak'!$B$2:$B$4,"&lt;="&amp;'원본_RankAiEncounter'!N41,'원본_CardLimitBreak'!$C$2:$C$4)</x:f>
        <x:v>8</x:v>
      </x:c>
      <x:c r="O46" s="8" t="n">
        <x:f>VLOOKUP(I46,'카드성장'!$A$7:$G$46,'원본_RankAiEncounter'!I41+2,FALSE)+SUMIF('원본_CardLimitBreak'!$B$2:$B$4,"&lt;="&amp;'원본_RankAiEncounter'!O41,'원본_CardLimitBreak'!$C$2:$C$4)</x:f>
        <x:v>16</x:v>
      </x:c>
      <x:c r="P46" s="8" t="n">
        <x:f>VLOOKUP(J46,'카드성장'!$A$7:$G$46,'원본_RankAiEncounter'!J41+2,FALSE)+SUMIF('원본_CardLimitBreak'!$B$2:$B$4,"&lt;="&amp;'원본_RankAiEncounter'!P41,'원본_CardLimitBreak'!$C$2:$C$4)</x:f>
        <x:v>8</x:v>
      </x:c>
      <x:c r="Q46" s="8" t="n">
        <x:f>SUM(K46:P46)</x:f>
        <x:v>71</x:v>
      </x:c>
      <x:c r="R46" s="8"/>
    </x:row>
    <x:row r="47" ht="23" customHeight="1">
      <x:c r="A47" s="8" t="n">
        <x:f>'원본_RankAiEncounter'!B42</x:f>
        <x:v>9</x:v>
      </x:c>
      <x:c r="B47" s="8" t="str">
        <x:f>'원본_RankAiEncounter'!C42</x:f>
        <x:v>Normal</x:v>
      </x:c>
      <x:c r="C47" s="8" t="str">
        <x:f>'원본_RankAiEncounter'!D42</x:f>
        <x:v>deck_06</x:v>
      </x:c>
      <x:c r="D47" s="8" t="n">
        <x:f>MAX(1,VLOOKUP(C47,'원본_AIDeck'!$B$2:$N$47,5,FALSE))</x:f>
        <x:v>1</x:v>
      </x:c>
      <x:c r="E47" s="8" t="n">
        <x:f>VLOOKUP(C47,'원본_AIDeck'!$B$2:$N$47,8,FALSE)</x:f>
        <x:v>15</x:v>
      </x:c>
      <x:c r="F47" s="8" t="n">
        <x:f>VLOOKUP(C47,'원본_AIDeck'!$B$2:$N$47,9,FALSE)</x:f>
        <x:v>16</x:v>
      </x:c>
      <x:c r="G47" s="8" t="n">
        <x:f>VLOOKUP(C47,'원본_AIDeck'!$B$2:$N$47,10,FALSE)</x:f>
        <x:v>25</x:v>
      </x:c>
      <x:c r="H47" s="8" t="n">
        <x:f>VLOOKUP(C47,'원본_AIDeck'!$B$2:$N$47,11,FALSE)</x:f>
        <x:v>20</x:v>
      </x:c>
      <x:c r="I47" s="8" t="n">
        <x:f>VLOOKUP(C47,'원본_AIDeck'!$B$2:$N$47,12,FALSE)</x:f>
        <x:v>6</x:v>
      </x:c>
      <x:c r="J47" s="8" t="n">
        <x:f>VLOOKUP(C47,'원본_AIDeck'!$B$2:$N$47,13,FALSE)</x:f>
        <x:v>38</x:v>
      </x:c>
      <x:c r="K47" s="8" t="n">
        <x:f>VLOOKUP(E47,'카드성장'!$A$7:$G$46,'원본_RankAiEncounter'!E42+2,FALSE)+SUMIF('원본_CardLimitBreak'!$B$2:$B$4,"&lt;="&amp;'원본_RankAiEncounter'!K42,'원본_CardLimitBreak'!$C$2:$C$4)</x:f>
        <x:v>15</x:v>
      </x:c>
      <x:c r="L47" s="8" t="n">
        <x:f>VLOOKUP(F47,'카드성장'!$A$7:$G$46,'원본_RankAiEncounter'!F42+2,FALSE)+SUMIF('원본_CardLimitBreak'!$B$2:$B$4,"&lt;="&amp;'원본_RankAiEncounter'!L42,'원본_CardLimitBreak'!$C$2:$C$4)</x:f>
        <x:v>7</x:v>
      </x:c>
      <x:c r="M47" s="8" t="n">
        <x:f>VLOOKUP(G47,'카드성장'!$A$7:$G$46,'원본_RankAiEncounter'!G42+2,FALSE)+SUMIF('원본_CardLimitBreak'!$B$2:$B$4,"&lt;="&amp;'원본_RankAiEncounter'!M42,'원본_CardLimitBreak'!$C$2:$C$4)</x:f>
        <x:v>17</x:v>
      </x:c>
      <x:c r="N47" s="8" t="n">
        <x:f>VLOOKUP(H47,'카드성장'!$A$7:$G$46,'원본_RankAiEncounter'!H42+2,FALSE)+SUMIF('원본_CardLimitBreak'!$B$2:$B$4,"&lt;="&amp;'원본_RankAiEncounter'!N42,'원본_CardLimitBreak'!$C$2:$C$4)</x:f>
        <x:v>8</x:v>
      </x:c>
      <x:c r="O47" s="8" t="n">
        <x:f>VLOOKUP(I47,'카드성장'!$A$7:$G$46,'원본_RankAiEncounter'!I42+2,FALSE)+SUMIF('원본_CardLimitBreak'!$B$2:$B$4,"&lt;="&amp;'원본_RankAiEncounter'!O42,'원본_CardLimitBreak'!$C$2:$C$4)</x:f>
        <x:v>10</x:v>
      </x:c>
      <x:c r="P47" s="8" t="n">
        <x:f>VLOOKUP(J47,'카드성장'!$A$7:$G$46,'원본_RankAiEncounter'!J42+2,FALSE)+SUMIF('원본_CardLimitBreak'!$B$2:$B$4,"&lt;="&amp;'원본_RankAiEncounter'!P42,'원본_CardLimitBreak'!$C$2:$C$4)</x:f>
        <x:v>18</x:v>
      </x:c>
      <x:c r="Q47" s="8" t="n">
        <x:f>SUM(K47:P47)</x:f>
        <x:v>75</x:v>
      </x:c>
      <x:c r="R47" s="8"/>
    </x:row>
    <x:row r="48" ht="23" customHeight="1">
      <x:c r="A48" s="8" t="n">
        <x:f>'원본_RankAiEncounter'!B43</x:f>
        <x:v>9</x:v>
      </x:c>
      <x:c r="B48" s="8" t="str">
        <x:f>'원본_RankAiEncounter'!C43</x:f>
        <x:v>Normal</x:v>
      </x:c>
      <x:c r="C48" s="8" t="str">
        <x:f>'원본_RankAiEncounter'!D43</x:f>
        <x:v>deck_07</x:v>
      </x:c>
      <x:c r="D48" s="8" t="n">
        <x:f>MAX(1,VLOOKUP(C48,'원본_AIDeck'!$B$2:$N$47,5,FALSE))</x:f>
        <x:v>1</x:v>
      </x:c>
      <x:c r="E48" s="8" t="n">
        <x:f>VLOOKUP(C48,'원본_AIDeck'!$B$2:$N$47,8,FALSE)</x:f>
        <x:v>8</x:v>
      </x:c>
      <x:c r="F48" s="8" t="n">
        <x:f>VLOOKUP(C48,'원본_AIDeck'!$B$2:$N$47,9,FALSE)</x:f>
        <x:v>9</x:v>
      </x:c>
      <x:c r="G48" s="8" t="n">
        <x:f>VLOOKUP(C48,'원본_AIDeck'!$B$2:$N$47,10,FALSE)</x:f>
        <x:v>10</x:v>
      </x:c>
      <x:c r="H48" s="8" t="n">
        <x:f>VLOOKUP(C48,'원본_AIDeck'!$B$2:$N$47,11,FALSE)</x:f>
        <x:v>20</x:v>
      </x:c>
      <x:c r="I48" s="8" t="n">
        <x:f>VLOOKUP(C48,'원본_AIDeck'!$B$2:$N$47,12,FALSE)</x:f>
        <x:v>6</x:v>
      </x:c>
      <x:c r="J48" s="8" t="n">
        <x:f>VLOOKUP(C48,'원본_AIDeck'!$B$2:$N$47,13,FALSE)</x:f>
        <x:v>27</x:v>
      </x:c>
      <x:c r="K48" s="8" t="n">
        <x:f>VLOOKUP(E48,'카드성장'!$A$7:$G$46,'원본_RankAiEncounter'!E43+2,FALSE)+SUMIF('원본_CardLimitBreak'!$B$2:$B$4,"&lt;="&amp;'원본_RankAiEncounter'!K43,'원본_CardLimitBreak'!$C$2:$C$4)</x:f>
        <x:v>8</x:v>
      </x:c>
      <x:c r="L48" s="8" t="n">
        <x:f>VLOOKUP(F48,'카드성장'!$A$7:$G$46,'원본_RankAiEncounter'!F43+2,FALSE)+SUMIF('원본_CardLimitBreak'!$B$2:$B$4,"&lt;="&amp;'원본_RankAiEncounter'!L43,'원본_CardLimitBreak'!$C$2:$C$4)</x:f>
        <x:v>14</x:v>
      </x:c>
      <x:c r="M48" s="8" t="n">
        <x:f>VLOOKUP(G48,'카드성장'!$A$7:$G$46,'원본_RankAiEncounter'!G43+2,FALSE)+SUMIF('원본_CardLimitBreak'!$B$2:$B$4,"&lt;="&amp;'원본_RankAiEncounter'!M43,'원본_CardLimitBreak'!$C$2:$C$4)</x:f>
        <x:v>17</x:v>
      </x:c>
      <x:c r="N48" s="8" t="n">
        <x:f>VLOOKUP(H48,'카드성장'!$A$7:$G$46,'원본_RankAiEncounter'!H43+2,FALSE)+SUMIF('원본_CardLimitBreak'!$B$2:$B$4,"&lt;="&amp;'원본_RankAiEncounter'!N43,'원본_CardLimitBreak'!$C$2:$C$4)</x:f>
        <x:v>18</x:v>
      </x:c>
      <x:c r="O48" s="8" t="n">
        <x:f>VLOOKUP(I48,'카드성장'!$A$7:$G$46,'원본_RankAiEncounter'!I43+2,FALSE)+SUMIF('원본_CardLimitBreak'!$B$2:$B$4,"&lt;="&amp;'원본_RankAiEncounter'!O43,'원본_CardLimitBreak'!$C$2:$C$4)</x:f>
        <x:v>10</x:v>
      </x:c>
      <x:c r="P48" s="8" t="n">
        <x:f>VLOOKUP(J48,'카드성장'!$A$7:$G$46,'원본_RankAiEncounter'!J43+2,FALSE)+SUMIF('원본_CardLimitBreak'!$B$2:$B$4,"&lt;="&amp;'원본_RankAiEncounter'!P43,'원본_CardLimitBreak'!$C$2:$C$4)</x:f>
        <x:v>7</x:v>
      </x:c>
      <x:c r="Q48" s="8" t="n">
        <x:f>SUM(K48:P48)</x:f>
        <x:v>74</x:v>
      </x:c>
      <x:c r="R48" s="8"/>
    </x:row>
    <x:row r="49" ht="23" customHeight="1">
      <x:c r="A49" s="8" t="n">
        <x:f>'원본_RankAiEncounter'!B44</x:f>
        <x:v>9</x:v>
      </x:c>
      <x:c r="B49" s="8" t="str">
        <x:f>'원본_RankAiEncounter'!C44</x:f>
        <x:v>Normal</x:v>
      </x:c>
      <x:c r="C49" s="8" t="str">
        <x:f>'원본_RankAiEncounter'!D44</x:f>
        <x:v>deck_08</x:v>
      </x:c>
      <x:c r="D49" s="8" t="n">
        <x:f>MAX(1,VLOOKUP(C49,'원본_AIDeck'!$B$2:$N$47,5,FALSE))</x:f>
        <x:v>1</x:v>
      </x:c>
      <x:c r="E49" s="8" t="n">
        <x:f>VLOOKUP(C49,'원본_AIDeck'!$B$2:$N$47,8,FALSE)</x:f>
        <x:v>5</x:v>
      </x:c>
      <x:c r="F49" s="8" t="n">
        <x:f>VLOOKUP(C49,'원본_AIDeck'!$B$2:$N$47,9,FALSE)</x:f>
        <x:v>6</x:v>
      </x:c>
      <x:c r="G49" s="8" t="n">
        <x:f>VLOOKUP(C49,'원본_AIDeck'!$B$2:$N$47,10,FALSE)</x:f>
        <x:v>33</x:v>
      </x:c>
      <x:c r="H49" s="8" t="n">
        <x:f>VLOOKUP(C49,'원본_AIDeck'!$B$2:$N$47,11,FALSE)</x:f>
        <x:v>28</x:v>
      </x:c>
      <x:c r="I49" s="8" t="n">
        <x:f>VLOOKUP(C49,'원본_AIDeck'!$B$2:$N$47,12,FALSE)</x:f>
        <x:v>12</x:v>
      </x:c>
      <x:c r="J49" s="8" t="n">
        <x:f>VLOOKUP(C49,'원본_AIDeck'!$B$2:$N$47,13,FALSE)</x:f>
        <x:v>10</x:v>
      </x:c>
      <x:c r="K49" s="8" t="n">
        <x:f>VLOOKUP(E49,'카드성장'!$A$7:$G$46,'원본_RankAiEncounter'!E44+2,FALSE)+SUMIF('원본_CardLimitBreak'!$B$2:$B$4,"&lt;="&amp;'원본_RankAiEncounter'!K44,'원본_CardLimitBreak'!$C$2:$C$4)</x:f>
        <x:v>20</x:v>
      </x:c>
      <x:c r="L49" s="8" t="n">
        <x:f>VLOOKUP(F49,'카드성장'!$A$7:$G$46,'원본_RankAiEncounter'!F44+2,FALSE)+SUMIF('원본_CardLimitBreak'!$B$2:$B$4,"&lt;="&amp;'원본_RankAiEncounter'!L44,'원본_CardLimitBreak'!$C$2:$C$4)</x:f>
        <x:v>10</x:v>
      </x:c>
      <x:c r="M49" s="8" t="n">
        <x:f>VLOOKUP(G49,'카드성장'!$A$7:$G$46,'원본_RankAiEncounter'!G44+2,FALSE)+SUMIF('원본_CardLimitBreak'!$B$2:$B$4,"&lt;="&amp;'원본_RankAiEncounter'!M44,'원본_CardLimitBreak'!$C$2:$C$4)</x:f>
        <x:v>7</x:v>
      </x:c>
      <x:c r="N49" s="8" t="n">
        <x:f>VLOOKUP(H49,'카드성장'!$A$7:$G$46,'원본_RankAiEncounter'!H44+2,FALSE)+SUMIF('원본_CardLimitBreak'!$B$2:$B$4,"&lt;="&amp;'원본_RankAiEncounter'!N44,'원본_CardLimitBreak'!$C$2:$C$4)</x:f>
        <x:v>10</x:v>
      </x:c>
      <x:c r="O49" s="8" t="n">
        <x:f>VLOOKUP(I49,'카드성장'!$A$7:$G$46,'원본_RankAiEncounter'!I44+2,FALSE)+SUMIF('원본_CardLimitBreak'!$B$2:$B$4,"&lt;="&amp;'원본_RankAiEncounter'!O44,'원본_CardLimitBreak'!$C$2:$C$4)</x:f>
        <x:v>18</x:v>
      </x:c>
      <x:c r="P49" s="8" t="n">
        <x:f>VLOOKUP(J49,'카드성장'!$A$7:$G$46,'원본_RankAiEncounter'!J44+2,FALSE)+SUMIF('원본_CardLimitBreak'!$B$2:$B$4,"&lt;="&amp;'원본_RankAiEncounter'!P44,'원본_CardLimitBreak'!$C$2:$C$4)</x:f>
        <x:v>17</x:v>
      </x:c>
      <x:c r="Q49" s="8" t="n">
        <x:f>SUM(K49:P49)</x:f>
        <x:v>82</x:v>
      </x:c>
      <x:c r="R49" s="8"/>
    </x:row>
    <x:row r="50" ht="23" customHeight="1">
      <x:c r="A50" s="8" t="n">
        <x:f>'원본_RankAiEncounter'!B45</x:f>
        <x:v>9</x:v>
      </x:c>
      <x:c r="B50" s="8" t="str">
        <x:f>'원본_RankAiEncounter'!C45</x:f>
        <x:v>Normal</x:v>
      </x:c>
      <x:c r="C50" s="8" t="str">
        <x:f>'원본_RankAiEncounter'!D45</x:f>
        <x:v>deck_19</x:v>
      </x:c>
      <x:c r="D50" s="8" t="n">
        <x:f>MAX(1,VLOOKUP(C50,'원본_AIDeck'!$B$2:$N$47,5,FALSE))</x:f>
        <x:v>1</x:v>
      </x:c>
      <x:c r="E50" s="8" t="n">
        <x:f>VLOOKUP(C50,'원본_AIDeck'!$B$2:$N$47,8,FALSE)</x:f>
        <x:v>31</x:v>
      </x:c>
      <x:c r="F50" s="8" t="n">
        <x:f>VLOOKUP(C50,'원본_AIDeck'!$B$2:$N$47,9,FALSE)</x:f>
        <x:v>37</x:v>
      </x:c>
      <x:c r="G50" s="8" t="n">
        <x:f>VLOOKUP(C50,'원본_AIDeck'!$B$2:$N$47,10,FALSE)</x:f>
        <x:v>29</x:v>
      </x:c>
      <x:c r="H50" s="8" t="n">
        <x:f>VLOOKUP(C50,'원본_AIDeck'!$B$2:$N$47,11,FALSE)</x:f>
        <x:v>20</x:v>
      </x:c>
      <x:c r="I50" s="8" t="n">
        <x:f>VLOOKUP(C50,'원본_AIDeck'!$B$2:$N$47,12,FALSE)</x:f>
        <x:v>6</x:v>
      </x:c>
      <x:c r="J50" s="8" t="n">
        <x:f>VLOOKUP(C50,'원본_AIDeck'!$B$2:$N$47,13,FALSE)</x:f>
        <x:v>27</x:v>
      </x:c>
      <x:c r="K50" s="8" t="n">
        <x:f>VLOOKUP(E50,'카드성장'!$A$7:$G$46,'원본_RankAiEncounter'!E45+2,FALSE)+SUMIF('원본_CardLimitBreak'!$B$2:$B$4,"&lt;="&amp;'원본_RankAiEncounter'!K45,'원본_CardLimitBreak'!$C$2:$C$4)</x:f>
        <x:v>18</x:v>
      </x:c>
      <x:c r="L50" s="8" t="n">
        <x:f>VLOOKUP(F50,'카드성장'!$A$7:$G$46,'원본_RankAiEncounter'!F45+2,FALSE)+SUMIF('원본_CardLimitBreak'!$B$2:$B$4,"&lt;="&amp;'원본_RankAiEncounter'!L45,'원본_CardLimitBreak'!$C$2:$C$4)</x:f>
        <x:v>17</x:v>
      </x:c>
      <x:c r="M50" s="8" t="n">
        <x:f>VLOOKUP(G50,'카드성장'!$A$7:$G$46,'원본_RankAiEncounter'!G45+2,FALSE)+SUMIF('원본_CardLimitBreak'!$B$2:$B$4,"&lt;="&amp;'원본_RankAiEncounter'!M45,'원본_CardLimitBreak'!$C$2:$C$4)</x:f>
        <x:v>16</x:v>
      </x:c>
      <x:c r="N50" s="8" t="n">
        <x:f>VLOOKUP(H50,'카드성장'!$A$7:$G$46,'원본_RankAiEncounter'!H45+2,FALSE)+SUMIF('원본_CardLimitBreak'!$B$2:$B$4,"&lt;="&amp;'원본_RankAiEncounter'!N45,'원본_CardLimitBreak'!$C$2:$C$4)</x:f>
        <x:v>8</x:v>
      </x:c>
      <x:c r="O50" s="8" t="n">
        <x:f>VLOOKUP(I50,'카드성장'!$A$7:$G$46,'원본_RankAiEncounter'!I45+2,FALSE)+SUMIF('원본_CardLimitBreak'!$B$2:$B$4,"&lt;="&amp;'원본_RankAiEncounter'!O45,'원본_CardLimitBreak'!$C$2:$C$4)</x:f>
        <x:v>10</x:v>
      </x:c>
      <x:c r="P50" s="8" t="n">
        <x:f>VLOOKUP(J50,'카드성장'!$A$7:$G$46,'원본_RankAiEncounter'!J45+2,FALSE)+SUMIF('원본_CardLimitBreak'!$B$2:$B$4,"&lt;="&amp;'원본_RankAiEncounter'!P45,'원본_CardLimitBreak'!$C$2:$C$4)</x:f>
        <x:v>7</x:v>
      </x:c>
      <x:c r="Q50" s="8" t="n">
        <x:f>SUM(K50:P50)</x:f>
        <x:v>76</x:v>
      </x:c>
      <x:c r="R50" s="8"/>
    </x:row>
    <x:row r="51" ht="23" customHeight="1">
      <x:c r="A51" s="8" t="n">
        <x:f>'원본_RankAiEncounter'!B46</x:f>
        <x:v>9</x:v>
      </x:c>
      <x:c r="B51" s="8" t="str">
        <x:f>'원본_RankAiEncounter'!C46</x:f>
        <x:v>Normal</x:v>
      </x:c>
      <x:c r="C51" s="8" t="str">
        <x:f>'원본_RankAiEncounter'!D46</x:f>
        <x:v>deck_20</x:v>
      </x:c>
      <x:c r="D51" s="8" t="n">
        <x:f>MAX(1,VLOOKUP(C51,'원본_AIDeck'!$B$2:$N$47,5,FALSE))</x:f>
        <x:v>1</x:v>
      </x:c>
      <x:c r="E51" s="8" t="n">
        <x:f>VLOOKUP(C51,'원본_AIDeck'!$B$2:$N$47,8,FALSE)</x:f>
        <x:v>6</x:v>
      </x:c>
      <x:c r="F51" s="8" t="n">
        <x:f>VLOOKUP(C51,'원본_AIDeck'!$B$2:$N$47,9,FALSE)</x:f>
        <x:v>38</x:v>
      </x:c>
      <x:c r="G51" s="8" t="n">
        <x:f>VLOOKUP(C51,'원본_AIDeck'!$B$2:$N$47,10,FALSE)</x:f>
        <x:v>20</x:v>
      </x:c>
      <x:c r="H51" s="8" t="n">
        <x:f>VLOOKUP(C51,'원본_AIDeck'!$B$2:$N$47,11,FALSE)</x:f>
        <x:v>30</x:v>
      </x:c>
      <x:c r="I51" s="8" t="n">
        <x:f>VLOOKUP(C51,'원본_AIDeck'!$B$2:$N$47,12,FALSE)</x:f>
        <x:v>23</x:v>
      </x:c>
      <x:c r="J51" s="8" t="n">
        <x:f>VLOOKUP(C51,'원본_AIDeck'!$B$2:$N$47,13,FALSE)</x:f>
        <x:v>27</x:v>
      </x:c>
      <x:c r="K51" s="8" t="n">
        <x:f>VLOOKUP(E51,'카드성장'!$A$7:$G$46,'원본_RankAiEncounter'!E46+2,FALSE)+SUMIF('원본_CardLimitBreak'!$B$2:$B$4,"&lt;="&amp;'원본_RankAiEncounter'!K46,'원본_CardLimitBreak'!$C$2:$C$4)</x:f>
        <x:v>20</x:v>
      </x:c>
      <x:c r="L51" s="8" t="n">
        <x:f>VLOOKUP(F51,'카드성장'!$A$7:$G$46,'원본_RankAiEncounter'!F46+2,FALSE)+SUMIF('원본_CardLimitBreak'!$B$2:$B$4,"&lt;="&amp;'원본_RankAiEncounter'!L46,'원본_CardLimitBreak'!$C$2:$C$4)</x:f>
        <x:v>18</x:v>
      </x:c>
      <x:c r="M51" s="8" t="n">
        <x:f>VLOOKUP(G51,'카드성장'!$A$7:$G$46,'원본_RankAiEncounter'!G46+2,FALSE)+SUMIF('원본_CardLimitBreak'!$B$2:$B$4,"&lt;="&amp;'원본_RankAiEncounter'!M46,'원본_CardLimitBreak'!$C$2:$C$4)</x:f>
        <x:v>18</x:v>
      </x:c>
      <x:c r="N51" s="8" t="n">
        <x:f>VLOOKUP(H51,'카드성장'!$A$7:$G$46,'원본_RankAiEncounter'!H46+2,FALSE)+SUMIF('원본_CardLimitBreak'!$B$2:$B$4,"&lt;="&amp;'원본_RankAiEncounter'!N46,'원본_CardLimitBreak'!$C$2:$C$4)</x:f>
        <x:v>8</x:v>
      </x:c>
      <x:c r="O51" s="8" t="n">
        <x:f>VLOOKUP(I51,'카드성장'!$A$7:$G$46,'원본_RankAiEncounter'!I46+2,FALSE)+SUMIF('원본_CardLimitBreak'!$B$2:$B$4,"&lt;="&amp;'원본_RankAiEncounter'!O46,'원본_CardLimitBreak'!$C$2:$C$4)</x:f>
        <x:v>9</x:v>
      </x:c>
      <x:c r="P51" s="8" t="n">
        <x:f>VLOOKUP(J51,'카드성장'!$A$7:$G$46,'원본_RankAiEncounter'!J46+2,FALSE)+SUMIF('원본_CardLimitBreak'!$B$2:$B$4,"&lt;="&amp;'원본_RankAiEncounter'!P46,'원본_CardLimitBreak'!$C$2:$C$4)</x:f>
        <x:v>7</x:v>
      </x:c>
      <x:c r="Q51" s="8" t="n">
        <x:f>SUM(K51:P51)</x:f>
        <x:v>80</x:v>
      </x:c>
      <x:c r="R51" s="8"/>
    </x:row>
    <x:row r="52" ht="23" customHeight="1">
      <x:c r="A52" s="8" t="n">
        <x:f>'원본_RankAiEncounter'!B47</x:f>
        <x:v>9</x:v>
      </x:c>
      <x:c r="B52" s="8" t="str">
        <x:f>'원본_RankAiEncounter'!C47</x:f>
        <x:v>Normal</x:v>
      </x:c>
      <x:c r="C52" s="8" t="str">
        <x:f>'원본_RankAiEncounter'!D47</x:f>
        <x:v>deck_21</x:v>
      </x:c>
      <x:c r="D52" s="8" t="n">
        <x:f>MAX(1,VLOOKUP(C52,'원본_AIDeck'!$B$2:$N$47,5,FALSE))</x:f>
        <x:v>1</x:v>
      </x:c>
      <x:c r="E52" s="8" t="n">
        <x:f>VLOOKUP(C52,'원본_AIDeck'!$B$2:$N$47,8,FALSE)</x:f>
        <x:v>17</x:v>
      </x:c>
      <x:c r="F52" s="8" t="n">
        <x:f>VLOOKUP(C52,'원본_AIDeck'!$B$2:$N$47,9,FALSE)</x:f>
        <x:v>18</x:v>
      </x:c>
      <x:c r="G52" s="8" t="n">
        <x:f>VLOOKUP(C52,'원본_AIDeck'!$B$2:$N$47,10,FALSE)</x:f>
        <x:v>6</x:v>
      </x:c>
      <x:c r="H52" s="8" t="n">
        <x:f>VLOOKUP(C52,'원본_AIDeck'!$B$2:$N$47,11,FALSE)</x:f>
        <x:v>19</x:v>
      </x:c>
      <x:c r="I52" s="8" t="n">
        <x:f>VLOOKUP(C52,'원본_AIDeck'!$B$2:$N$47,12,FALSE)</x:f>
        <x:v>13</x:v>
      </x:c>
      <x:c r="J52" s="8" t="n">
        <x:f>VLOOKUP(C52,'원본_AIDeck'!$B$2:$N$47,13,FALSE)</x:f>
        <x:v>14</x:v>
      </x:c>
      <x:c r="K52" s="8" t="n">
        <x:f>VLOOKUP(E52,'카드성장'!$A$7:$G$46,'원본_RankAiEncounter'!E47+2,FALSE)+SUMIF('원본_CardLimitBreak'!$B$2:$B$4,"&lt;="&amp;'원본_RankAiEncounter'!K47,'원본_CardLimitBreak'!$C$2:$C$4)</x:f>
        <x:v>15</x:v>
      </x:c>
      <x:c r="L52" s="8" t="n">
        <x:f>VLOOKUP(F52,'카드성장'!$A$7:$G$46,'원본_RankAiEncounter'!F47+2,FALSE)+SUMIF('원본_CardLimitBreak'!$B$2:$B$4,"&lt;="&amp;'원본_RankAiEncounter'!L47,'원본_CardLimitBreak'!$C$2:$C$4)</x:f>
        <x:v>14</x:v>
      </x:c>
      <x:c r="M52" s="8" t="n">
        <x:f>VLOOKUP(G52,'카드성장'!$A$7:$G$46,'원본_RankAiEncounter'!G47+2,FALSE)+SUMIF('원본_CardLimitBreak'!$B$2:$B$4,"&lt;="&amp;'원본_RankAiEncounter'!M47,'원본_CardLimitBreak'!$C$2:$C$4)</x:f>
        <x:v>10</x:v>
      </x:c>
      <x:c r="N52" s="8" t="n">
        <x:f>VLOOKUP(H52,'카드성장'!$A$7:$G$46,'원본_RankAiEncounter'!H47+2,FALSE)+SUMIF('원본_CardLimitBreak'!$B$2:$B$4,"&lt;="&amp;'원본_RankAiEncounter'!N47,'원본_CardLimitBreak'!$C$2:$C$4)</x:f>
        <x:v>16</x:v>
      </x:c>
      <x:c r="O52" s="8" t="n">
        <x:f>VLOOKUP(I52,'카드성장'!$A$7:$G$46,'원본_RankAiEncounter'!I47+2,FALSE)+SUMIF('원본_CardLimitBreak'!$B$2:$B$4,"&lt;="&amp;'원본_RankAiEncounter'!O47,'원본_CardLimitBreak'!$C$2:$C$4)</x:f>
        <x:v>9</x:v>
      </x:c>
      <x:c r="P52" s="8" t="n">
        <x:f>VLOOKUP(J52,'카드성장'!$A$7:$G$46,'원본_RankAiEncounter'!J47+2,FALSE)+SUMIF('원본_CardLimitBreak'!$B$2:$B$4,"&lt;="&amp;'원본_RankAiEncounter'!P47,'원본_CardLimitBreak'!$C$2:$C$4)</x:f>
        <x:v>8</x:v>
      </x:c>
      <x:c r="Q52" s="8" t="n">
        <x:f>SUM(K52:P52)</x:f>
        <x:v>72</x:v>
      </x:c>
      <x:c r="R52" s="8"/>
    </x:row>
    <x:row r="53" ht="23" customHeight="1">
      <x:c r="A53" s="8" t="n">
        <x:f>'원본_RankAiEncounter'!B48</x:f>
        <x:v>9</x:v>
      </x:c>
      <x:c r="B53" s="8" t="str">
        <x:f>'원본_RankAiEncounter'!C48</x:f>
        <x:v>Normal</x:v>
      </x:c>
      <x:c r="C53" s="8" t="str">
        <x:f>'원본_RankAiEncounter'!D48</x:f>
        <x:v>deck_22</x:v>
      </x:c>
      <x:c r="D53" s="8" t="n">
        <x:f>MAX(1,VLOOKUP(C53,'원본_AIDeck'!$B$2:$N$47,5,FALSE))</x:f>
        <x:v>1</x:v>
      </x:c>
      <x:c r="E53" s="8" t="n">
        <x:f>VLOOKUP(C53,'원본_AIDeck'!$B$2:$N$47,8,FALSE)</x:f>
        <x:v>5</x:v>
      </x:c>
      <x:c r="F53" s="8" t="n">
        <x:f>VLOOKUP(C53,'원본_AIDeck'!$B$2:$N$47,9,FALSE)</x:f>
        <x:v>12</x:v>
      </x:c>
      <x:c r="G53" s="8" t="n">
        <x:f>VLOOKUP(C53,'원본_AIDeck'!$B$2:$N$47,10,FALSE)</x:f>
        <x:v>29</x:v>
      </x:c>
      <x:c r="H53" s="8" t="n">
        <x:f>VLOOKUP(C53,'원본_AIDeck'!$B$2:$N$47,11,FALSE)</x:f>
        <x:v>20</x:v>
      </x:c>
      <x:c r="I53" s="8" t="n">
        <x:f>VLOOKUP(C53,'원본_AIDeck'!$B$2:$N$47,12,FALSE)</x:f>
        <x:v>28</x:v>
      </x:c>
      <x:c r="J53" s="8" t="n">
        <x:f>VLOOKUP(C53,'원본_AIDeck'!$B$2:$N$47,13,FALSE)</x:f>
        <x:v>6</x:v>
      </x:c>
      <x:c r="K53" s="8" t="n">
        <x:f>VLOOKUP(E53,'카드성장'!$A$7:$G$46,'원본_RankAiEncounter'!E48+2,FALSE)+SUMIF('원본_CardLimitBreak'!$B$2:$B$4,"&lt;="&amp;'원본_RankAiEncounter'!K48,'원본_CardLimitBreak'!$C$2:$C$4)</x:f>
        <x:v>20</x:v>
      </x:c>
      <x:c r="L53" s="8" t="n">
        <x:f>VLOOKUP(F53,'카드성장'!$A$7:$G$46,'원본_RankAiEncounter'!F48+2,FALSE)+SUMIF('원본_CardLimitBreak'!$B$2:$B$4,"&lt;="&amp;'원본_RankAiEncounter'!L48,'원본_CardLimitBreak'!$C$2:$C$4)</x:f>
        <x:v>18</x:v>
      </x:c>
      <x:c r="M53" s="8" t="n">
        <x:f>VLOOKUP(G53,'카드성장'!$A$7:$G$46,'원본_RankAiEncounter'!G48+2,FALSE)+SUMIF('원본_CardLimitBreak'!$B$2:$B$4,"&lt;="&amp;'원본_RankAiEncounter'!M48,'원본_CardLimitBreak'!$C$2:$C$4)</x:f>
        <x:v>16</x:v>
      </x:c>
      <x:c r="N53" s="8" t="n">
        <x:f>VLOOKUP(H53,'카드성장'!$A$7:$G$46,'원본_RankAiEncounter'!H48+2,FALSE)+SUMIF('원본_CardLimitBreak'!$B$2:$B$4,"&lt;="&amp;'원본_RankAiEncounter'!N48,'원본_CardLimitBreak'!$C$2:$C$4)</x:f>
        <x:v>8</x:v>
      </x:c>
      <x:c r="O53" s="8" t="n">
        <x:f>VLOOKUP(I53,'카드성장'!$A$7:$G$46,'원본_RankAiEncounter'!I48+2,FALSE)+SUMIF('원본_CardLimitBreak'!$B$2:$B$4,"&lt;="&amp;'원본_RankAiEncounter'!O48,'원본_CardLimitBreak'!$C$2:$C$4)</x:f>
        <x:v>10</x:v>
      </x:c>
      <x:c r="P53" s="8" t="n">
        <x:f>VLOOKUP(J53,'카드성장'!$A$7:$G$46,'원본_RankAiEncounter'!J48+2,FALSE)+SUMIF('원본_CardLimitBreak'!$B$2:$B$4,"&lt;="&amp;'원본_RankAiEncounter'!P48,'원본_CardLimitBreak'!$C$2:$C$4)</x:f>
        <x:v>10</x:v>
      </x:c>
      <x:c r="Q53" s="8" t="n">
        <x:f>SUM(K53:P53)</x:f>
        <x:v>82</x:v>
      </x:c>
      <x:c r="R53" s="8"/>
    </x:row>
    <x:row r="54" ht="23" customHeight="1">
      <x:c r="A54" s="8" t="n">
        <x:f>'원본_RankAiEncounter'!B49</x:f>
        <x:v>10</x:v>
      </x:c>
      <x:c r="B54" s="8" t="str">
        <x:f>'원본_RankAiEncounter'!C49</x:f>
        <x:v>Normal</x:v>
      </x:c>
      <x:c r="C54" s="8" t="str">
        <x:f>'원본_RankAiEncounter'!D49</x:f>
        <x:v>deck_01</x:v>
      </x:c>
      <x:c r="D54" s="8" t="n">
        <x:f>MAX(1,VLOOKUP(C54,'원본_AIDeck'!$B$2:$N$47,5,FALSE))</x:f>
        <x:v>1</x:v>
      </x:c>
      <x:c r="E54" s="8" t="n">
        <x:f>VLOOKUP(C54,'원본_AIDeck'!$B$2:$N$47,8,FALSE)</x:f>
        <x:v>20</x:v>
      </x:c>
      <x:c r="F54" s="8" t="n">
        <x:f>VLOOKUP(C54,'원본_AIDeck'!$B$2:$N$47,9,FALSE)</x:f>
        <x:v>18</x:v>
      </x:c>
      <x:c r="G54" s="8" t="n">
        <x:f>VLOOKUP(C54,'원본_AIDeck'!$B$2:$N$47,10,FALSE)</x:f>
        <x:v>19</x:v>
      </x:c>
      <x:c r="H54" s="8" t="n">
        <x:f>VLOOKUP(C54,'원본_AIDeck'!$B$2:$N$47,11,FALSE)</x:f>
        <x:v>6</x:v>
      </x:c>
      <x:c r="I54" s="8" t="n">
        <x:f>VLOOKUP(C54,'원본_AIDeck'!$B$2:$N$47,12,FALSE)</x:f>
        <x:v>13</x:v>
      </x:c>
      <x:c r="J54" s="8" t="n">
        <x:f>VLOOKUP(C54,'원본_AIDeck'!$B$2:$N$47,13,FALSE)</x:f>
        <x:v>14</x:v>
      </x:c>
      <x:c r="K54" s="8" t="n">
        <x:f>VLOOKUP(E54,'카드성장'!$A$7:$G$46,'원본_RankAiEncounter'!E49+2,FALSE)+SUMIF('원본_CardLimitBreak'!$B$2:$B$4,"&lt;="&amp;'원본_RankAiEncounter'!K49,'원본_CardLimitBreak'!$C$2:$C$4)</x:f>
        <x:v>18</x:v>
      </x:c>
      <x:c r="L54" s="8" t="n">
        <x:f>VLOOKUP(F54,'카드성장'!$A$7:$G$46,'원본_RankAiEncounter'!F49+2,FALSE)+SUMIF('원본_CardLimitBreak'!$B$2:$B$4,"&lt;="&amp;'원본_RankAiEncounter'!L49,'원본_CardLimitBreak'!$C$2:$C$4)</x:f>
        <x:v>7</x:v>
      </x:c>
      <x:c r="M54" s="8" t="n">
        <x:f>VLOOKUP(G54,'카드성장'!$A$7:$G$46,'원본_RankAiEncounter'!G49+2,FALSE)+SUMIF('원본_CardLimitBreak'!$B$2:$B$4,"&lt;="&amp;'원본_RankAiEncounter'!M49,'원본_CardLimitBreak'!$C$2:$C$4)</x:f>
        <x:v>16</x:v>
      </x:c>
      <x:c r="N54" s="8" t="n">
        <x:f>VLOOKUP(H54,'카드성장'!$A$7:$G$46,'원본_RankAiEncounter'!H49+2,FALSE)+SUMIF('원본_CardLimitBreak'!$B$2:$B$4,"&lt;="&amp;'원본_RankAiEncounter'!N49,'원본_CardLimitBreak'!$C$2:$C$4)</x:f>
        <x:v>10</x:v>
      </x:c>
      <x:c r="O54" s="8" t="n">
        <x:f>VLOOKUP(I54,'카드성장'!$A$7:$G$46,'원본_RankAiEncounter'!I49+2,FALSE)+SUMIF('원본_CardLimitBreak'!$B$2:$B$4,"&lt;="&amp;'원본_RankAiEncounter'!O49,'원본_CardLimitBreak'!$C$2:$C$4)</x:f>
        <x:v>9</x:v>
      </x:c>
      <x:c r="P54" s="8" t="n">
        <x:f>VLOOKUP(J54,'카드성장'!$A$7:$G$46,'원본_RankAiEncounter'!J49+2,FALSE)+SUMIF('원본_CardLimitBreak'!$B$2:$B$4,"&lt;="&amp;'원본_RankAiEncounter'!P49,'원본_CardLimitBreak'!$C$2:$C$4)</x:f>
        <x:v>17</x:v>
      </x:c>
      <x:c r="Q54" s="8" t="n">
        <x:f>SUM(K54:P54)</x:f>
        <x:v>77</x:v>
      </x:c>
      <x:c r="R54" s="8"/>
    </x:row>
    <x:row r="55" ht="23" customHeight="1">
      <x:c r="A55" s="8" t="n">
        <x:f>'원본_RankAiEncounter'!B50</x:f>
        <x:v>10</x:v>
      </x:c>
      <x:c r="B55" s="8" t="str">
        <x:f>'원본_RankAiEncounter'!C50</x:f>
        <x:v>Normal</x:v>
      </x:c>
      <x:c r="C55" s="8" t="str">
        <x:f>'원본_RankAiEncounter'!D50</x:f>
        <x:v>deck_02</x:v>
      </x:c>
      <x:c r="D55" s="8" t="n">
        <x:f>MAX(1,VLOOKUP(C55,'원본_AIDeck'!$B$2:$N$47,5,FALSE))</x:f>
        <x:v>1</x:v>
      </x:c>
      <x:c r="E55" s="8" t="n">
        <x:f>VLOOKUP(C55,'원본_AIDeck'!$B$2:$N$47,8,FALSE)</x:f>
        <x:v>20</x:v>
      </x:c>
      <x:c r="F55" s="8" t="n">
        <x:f>VLOOKUP(C55,'원본_AIDeck'!$B$2:$N$47,9,FALSE)</x:f>
        <x:v>18</x:v>
      </x:c>
      <x:c r="G55" s="8" t="n">
        <x:f>VLOOKUP(C55,'원본_AIDeck'!$B$2:$N$47,10,FALSE)</x:f>
        <x:v>19</x:v>
      </x:c>
      <x:c r="H55" s="8" t="n">
        <x:f>VLOOKUP(C55,'원본_AIDeck'!$B$2:$N$47,11,FALSE)</x:f>
        <x:v>4</x:v>
      </x:c>
      <x:c r="I55" s="8" t="n">
        <x:f>VLOOKUP(C55,'원본_AIDeck'!$B$2:$N$47,12,FALSE)</x:f>
        <x:v>37</x:v>
      </x:c>
      <x:c r="J55" s="8" t="n">
        <x:f>VLOOKUP(C55,'원본_AIDeck'!$B$2:$N$47,13,FALSE)</x:f>
        <x:v>31</x:v>
      </x:c>
      <x:c r="K55" s="8" t="n">
        <x:f>VLOOKUP(E55,'카드성장'!$A$7:$G$46,'원본_RankAiEncounter'!E50+2,FALSE)+SUMIF('원본_CardLimitBreak'!$B$2:$B$4,"&lt;="&amp;'원본_RankAiEncounter'!K50,'원본_CardLimitBreak'!$C$2:$C$4)</x:f>
        <x:v>18</x:v>
      </x:c>
      <x:c r="L55" s="8" t="n">
        <x:f>VLOOKUP(F55,'카드성장'!$A$7:$G$46,'원본_RankAiEncounter'!F50+2,FALSE)+SUMIF('원본_CardLimitBreak'!$B$2:$B$4,"&lt;="&amp;'원본_RankAiEncounter'!L50,'원본_CardLimitBreak'!$C$2:$C$4)</x:f>
        <x:v>7</x:v>
      </x:c>
      <x:c r="M55" s="8" t="n">
        <x:f>VLOOKUP(G55,'카드성장'!$A$7:$G$46,'원본_RankAiEncounter'!G50+2,FALSE)+SUMIF('원본_CardLimitBreak'!$B$2:$B$4,"&lt;="&amp;'원본_RankAiEncounter'!M50,'원본_CardLimitBreak'!$C$2:$C$4)</x:f>
        <x:v>16</x:v>
      </x:c>
      <x:c r="N55" s="8" t="n">
        <x:f>VLOOKUP(H55,'카드성장'!$A$7:$G$46,'원본_RankAiEncounter'!H50+2,FALSE)+SUMIF('원본_CardLimitBreak'!$B$2:$B$4,"&lt;="&amp;'원본_RankAiEncounter'!N50,'원본_CardLimitBreak'!$C$2:$C$4)</x:f>
        <x:v>9</x:v>
      </x:c>
      <x:c r="O55" s="8" t="n">
        <x:f>VLOOKUP(I55,'카드성장'!$A$7:$G$46,'원본_RankAiEncounter'!I50+2,FALSE)+SUMIF('원본_CardLimitBreak'!$B$2:$B$4,"&lt;="&amp;'원본_RankAiEncounter'!O50,'원본_CardLimitBreak'!$C$2:$C$4)</x:f>
        <x:v>17</x:v>
      </x:c>
      <x:c r="P55" s="8" t="n">
        <x:f>VLOOKUP(J55,'카드성장'!$A$7:$G$46,'원본_RankAiEncounter'!J50+2,FALSE)+SUMIF('원본_CardLimitBreak'!$B$2:$B$4,"&lt;="&amp;'원본_RankAiEncounter'!P50,'원본_CardLimitBreak'!$C$2:$C$4)</x:f>
        <x:v>9</x:v>
      </x:c>
      <x:c r="Q55" s="8" t="n">
        <x:f>SUM(K55:P55)</x:f>
        <x:v>76</x:v>
      </x:c>
      <x:c r="R55" s="8"/>
    </x:row>
    <x:row r="56" ht="23" customHeight="1">
      <x:c r="A56" s="8" t="n">
        <x:f>'원본_RankAiEncounter'!B51</x:f>
        <x:v>10</x:v>
      </x:c>
      <x:c r="B56" s="8" t="str">
        <x:f>'원본_RankAiEncounter'!C51</x:f>
        <x:v>Normal</x:v>
      </x:c>
      <x:c r="C56" s="8" t="str">
        <x:f>'원본_RankAiEncounter'!D51</x:f>
        <x:v>deck_03</x:v>
      </x:c>
      <x:c r="D56" s="8" t="n">
        <x:f>MAX(1,VLOOKUP(C56,'원본_AIDeck'!$B$2:$N$47,5,FALSE))</x:f>
        <x:v>1</x:v>
      </x:c>
      <x:c r="E56" s="8" t="n">
        <x:f>VLOOKUP(C56,'원본_AIDeck'!$B$2:$N$47,8,FALSE)</x:f>
        <x:v>4</x:v>
      </x:c>
      <x:c r="F56" s="8" t="n">
        <x:f>VLOOKUP(C56,'원본_AIDeck'!$B$2:$N$47,9,FALSE)</x:f>
        <x:v>2</x:v>
      </x:c>
      <x:c r="G56" s="8" t="n">
        <x:f>VLOOKUP(C56,'원본_AIDeck'!$B$2:$N$47,10,FALSE)</x:f>
        <x:v>1</x:v>
      </x:c>
      <x:c r="H56" s="8" t="n">
        <x:f>VLOOKUP(C56,'원본_AIDeck'!$B$2:$N$47,11,FALSE)</x:f>
        <x:v>6</x:v>
      </x:c>
      <x:c r="I56" s="8" t="n">
        <x:f>VLOOKUP(C56,'원본_AIDeck'!$B$2:$N$47,12,FALSE)</x:f>
        <x:v>28</x:v>
      </x:c>
      <x:c r="J56" s="8" t="n">
        <x:f>VLOOKUP(C56,'원본_AIDeck'!$B$2:$N$47,13,FALSE)</x:f>
        <x:v>12</x:v>
      </x:c>
      <x:c r="K56" s="8" t="n">
        <x:f>VLOOKUP(E56,'카드성장'!$A$7:$G$46,'원본_RankAiEncounter'!E51+2,FALSE)+SUMIF('원본_CardLimitBreak'!$B$2:$B$4,"&lt;="&amp;'원본_RankAiEncounter'!K51,'원본_CardLimitBreak'!$C$2:$C$4)</x:f>
        <x:v>18</x:v>
      </x:c>
      <x:c r="L56" s="8" t="n">
        <x:f>VLOOKUP(F56,'카드성장'!$A$7:$G$46,'원본_RankAiEncounter'!F51+2,FALSE)+SUMIF('원본_CardLimitBreak'!$B$2:$B$4,"&lt;="&amp;'원본_RankAiEncounter'!L51,'원본_CardLimitBreak'!$C$2:$C$4)</x:f>
        <x:v>14</x:v>
      </x:c>
      <x:c r="M56" s="8" t="n">
        <x:f>VLOOKUP(G56,'카드성장'!$A$7:$G$46,'원본_RankAiEncounter'!G51+2,FALSE)+SUMIF('원본_CardLimitBreak'!$B$2:$B$4,"&lt;="&amp;'원본_RankAiEncounter'!M51,'원본_CardLimitBreak'!$C$2:$C$4)</x:f>
        <x:v>6</x:v>
      </x:c>
      <x:c r="N56" s="8" t="n">
        <x:f>VLOOKUP(H56,'카드성장'!$A$7:$G$46,'원본_RankAiEncounter'!H51+2,FALSE)+SUMIF('원본_CardLimitBreak'!$B$2:$B$4,"&lt;="&amp;'원본_RankAiEncounter'!N51,'원본_CardLimitBreak'!$C$2:$C$4)</x:f>
        <x:v>10</x:v>
      </x:c>
      <x:c r="O56" s="8" t="n">
        <x:f>VLOOKUP(I56,'카드성장'!$A$7:$G$46,'원본_RankAiEncounter'!I51+2,FALSE)+SUMIF('원본_CardLimitBreak'!$B$2:$B$4,"&lt;="&amp;'원본_RankAiEncounter'!O51,'원본_CardLimitBreak'!$C$2:$C$4)</x:f>
        <x:v>10</x:v>
      </x:c>
      <x:c r="P56" s="8" t="n">
        <x:f>VLOOKUP(J56,'카드성장'!$A$7:$G$46,'원본_RankAiEncounter'!J51+2,FALSE)+SUMIF('원본_CardLimitBreak'!$B$2:$B$4,"&lt;="&amp;'원본_RankAiEncounter'!P51,'원본_CardLimitBreak'!$C$2:$C$4)</x:f>
        <x:v>18</x:v>
      </x:c>
      <x:c r="Q56" s="8" t="n">
        <x:f>SUM(K56:P56)</x:f>
        <x:v>76</x:v>
      </x:c>
      <x:c r="R56" s="8"/>
    </x:row>
    <x:row r="57" ht="23" customHeight="1">
      <x:c r="A57" s="8" t="n">
        <x:f>'원본_RankAiEncounter'!B52</x:f>
        <x:v>10</x:v>
      </x:c>
      <x:c r="B57" s="8" t="str">
        <x:f>'원본_RankAiEncounter'!C52</x:f>
        <x:v>Normal</x:v>
      </x:c>
      <x:c r="C57" s="8" t="str">
        <x:f>'원본_RankAiEncounter'!D52</x:f>
        <x:v>deck_04</x:v>
      </x:c>
      <x:c r="D57" s="8" t="n">
        <x:f>MAX(1,VLOOKUP(C57,'원본_AIDeck'!$B$2:$N$47,5,FALSE))</x:f>
        <x:v>1</x:v>
      </x:c>
      <x:c r="E57" s="8" t="n">
        <x:f>VLOOKUP(C57,'원본_AIDeck'!$B$2:$N$47,8,FALSE)</x:f>
        <x:v>4</x:v>
      </x:c>
      <x:c r="F57" s="8" t="n">
        <x:f>VLOOKUP(C57,'원본_AIDeck'!$B$2:$N$47,9,FALSE)</x:f>
        <x:v>2</x:v>
      </x:c>
      <x:c r="G57" s="8" t="n">
        <x:f>VLOOKUP(C57,'원본_AIDeck'!$B$2:$N$47,10,FALSE)</x:f>
        <x:v>32</x:v>
      </x:c>
      <x:c r="H57" s="8" t="n">
        <x:f>VLOOKUP(C57,'원본_AIDeck'!$B$2:$N$47,11,FALSE)</x:f>
        <x:v>27</x:v>
      </x:c>
      <x:c r="I57" s="8" t="n">
        <x:f>VLOOKUP(C57,'원본_AIDeck'!$B$2:$N$47,12,FALSE)</x:f>
        <x:v>6</x:v>
      </x:c>
      <x:c r="J57" s="8" t="n">
        <x:f>VLOOKUP(C57,'원본_AIDeck'!$B$2:$N$47,13,FALSE)</x:f>
        <x:v>38</x:v>
      </x:c>
      <x:c r="K57" s="8" t="n">
        <x:f>VLOOKUP(E57,'카드성장'!$A$7:$G$46,'원본_RankAiEncounter'!E52+2,FALSE)+SUMIF('원본_CardLimitBreak'!$B$2:$B$4,"&lt;="&amp;'원본_RankAiEncounter'!K52,'원본_CardLimitBreak'!$C$2:$C$4)</x:f>
        <x:v>18</x:v>
      </x:c>
      <x:c r="L57" s="8" t="n">
        <x:f>VLOOKUP(F57,'카드성장'!$A$7:$G$46,'원본_RankAiEncounter'!F52+2,FALSE)+SUMIF('원본_CardLimitBreak'!$B$2:$B$4,"&lt;="&amp;'원본_RankAiEncounter'!L52,'원본_CardLimitBreak'!$C$2:$C$4)</x:f>
        <x:v>14</x:v>
      </x:c>
      <x:c r="M57" s="8" t="n">
        <x:f>VLOOKUP(G57,'카드성장'!$A$7:$G$46,'원본_RankAiEncounter'!G52+2,FALSE)+SUMIF('원본_CardLimitBreak'!$B$2:$B$4,"&lt;="&amp;'원본_RankAiEncounter'!M52,'원본_CardLimitBreak'!$C$2:$C$4)</x:f>
        <x:v>8</x:v>
      </x:c>
      <x:c r="N57" s="8" t="n">
        <x:f>VLOOKUP(H57,'카드성장'!$A$7:$G$46,'원본_RankAiEncounter'!H52+2,FALSE)+SUMIF('원본_CardLimitBreak'!$B$2:$B$4,"&lt;="&amp;'원본_RankAiEncounter'!N52,'원본_CardLimitBreak'!$C$2:$C$4)</x:f>
        <x:v>7</x:v>
      </x:c>
      <x:c r="O57" s="8" t="n">
        <x:f>VLOOKUP(I57,'카드성장'!$A$7:$G$46,'원본_RankAiEncounter'!I52+2,FALSE)+SUMIF('원본_CardLimitBreak'!$B$2:$B$4,"&lt;="&amp;'원본_RankAiEncounter'!O52,'원본_CardLimitBreak'!$C$2:$C$4)</x:f>
        <x:v>10</x:v>
      </x:c>
      <x:c r="P57" s="8" t="n">
        <x:f>VLOOKUP(J57,'카드성장'!$A$7:$G$46,'원본_RankAiEncounter'!J52+2,FALSE)+SUMIF('원본_CardLimitBreak'!$B$2:$B$4,"&lt;="&amp;'원본_RankAiEncounter'!P52,'원본_CardLimitBreak'!$C$2:$C$4)</x:f>
        <x:v>18</x:v>
      </x:c>
      <x:c r="Q57" s="8" t="n">
        <x:f>SUM(K57:P57)</x:f>
        <x:v>75</x:v>
      </x:c>
      <x:c r="R57" s="8"/>
    </x:row>
    <x:row r="58" ht="23" customHeight="1">
      <x:c r="A58" s="8" t="n">
        <x:f>'원본_RankAiEncounter'!B53</x:f>
        <x:v>10</x:v>
      </x:c>
      <x:c r="B58" s="8" t="str">
        <x:f>'원본_RankAiEncounter'!C53</x:f>
        <x:v>Normal</x:v>
      </x:c>
      <x:c r="C58" s="8" t="str">
        <x:f>'원본_RankAiEncounter'!D53</x:f>
        <x:v>deck_05</x:v>
      </x:c>
      <x:c r="D58" s="8" t="n">
        <x:f>MAX(1,VLOOKUP(C58,'원본_AIDeck'!$B$2:$N$47,5,FALSE))</x:f>
        <x:v>1</x:v>
      </x:c>
      <x:c r="E58" s="8" t="n">
        <x:f>VLOOKUP(C58,'원본_AIDeck'!$B$2:$N$47,8,FALSE)</x:f>
        <x:v>15</x:v>
      </x:c>
      <x:c r="F58" s="8" t="n">
        <x:f>VLOOKUP(C58,'원본_AIDeck'!$B$2:$N$47,9,FALSE)</x:f>
        <x:v>16</x:v>
      </x:c>
      <x:c r="G58" s="8" t="n">
        <x:f>VLOOKUP(C58,'원본_AIDeck'!$B$2:$N$47,10,FALSE)</x:f>
        <x:v>25</x:v>
      </x:c>
      <x:c r="H58" s="8" t="n">
        <x:f>VLOOKUP(C58,'원본_AIDeck'!$B$2:$N$47,11,FALSE)</x:f>
        <x:v>20</x:v>
      </x:c>
      <x:c r="I58" s="8" t="n">
        <x:f>VLOOKUP(C58,'원본_AIDeck'!$B$2:$N$47,12,FALSE)</x:f>
        <x:v>29</x:v>
      </x:c>
      <x:c r="J58" s="8" t="n">
        <x:f>VLOOKUP(C58,'원본_AIDeck'!$B$2:$N$47,13,FALSE)</x:f>
        <x:v>37</x:v>
      </x:c>
      <x:c r="K58" s="8" t="n">
        <x:f>VLOOKUP(E58,'카드성장'!$A$7:$G$46,'원본_RankAiEncounter'!E53+2,FALSE)+SUMIF('원본_CardLimitBreak'!$B$2:$B$4,"&lt;="&amp;'원본_RankAiEncounter'!K53,'원본_CardLimitBreak'!$C$2:$C$4)</x:f>
        <x:v>15</x:v>
      </x:c>
      <x:c r="L58" s="8" t="n">
        <x:f>VLOOKUP(F58,'카드성장'!$A$7:$G$46,'원본_RankAiEncounter'!F53+2,FALSE)+SUMIF('원본_CardLimitBreak'!$B$2:$B$4,"&lt;="&amp;'원본_RankAiEncounter'!L53,'원본_CardLimitBreak'!$C$2:$C$4)</x:f>
        <x:v>7</x:v>
      </x:c>
      <x:c r="M58" s="8" t="n">
        <x:f>VLOOKUP(G58,'카드성장'!$A$7:$G$46,'원본_RankAiEncounter'!G53+2,FALSE)+SUMIF('원본_CardLimitBreak'!$B$2:$B$4,"&lt;="&amp;'원본_RankAiEncounter'!M53,'원본_CardLimitBreak'!$C$2:$C$4)</x:f>
        <x:v>17</x:v>
      </x:c>
      <x:c r="N58" s="8" t="n">
        <x:f>VLOOKUP(H58,'카드성장'!$A$7:$G$46,'원본_RankAiEncounter'!H53+2,FALSE)+SUMIF('원본_CardLimitBreak'!$B$2:$B$4,"&lt;="&amp;'원본_RankAiEncounter'!N53,'원본_CardLimitBreak'!$C$2:$C$4)</x:f>
        <x:v>8</x:v>
      </x:c>
      <x:c r="O58" s="8" t="n">
        <x:f>VLOOKUP(I58,'카드성장'!$A$7:$G$46,'원본_RankAiEncounter'!I53+2,FALSE)+SUMIF('원본_CardLimitBreak'!$B$2:$B$4,"&lt;="&amp;'원본_RankAiEncounter'!O53,'원본_CardLimitBreak'!$C$2:$C$4)</x:f>
        <x:v>16</x:v>
      </x:c>
      <x:c r="P58" s="8" t="n">
        <x:f>VLOOKUP(J58,'카드성장'!$A$7:$G$46,'원본_RankAiEncounter'!J53+2,FALSE)+SUMIF('원본_CardLimitBreak'!$B$2:$B$4,"&lt;="&amp;'원본_RankAiEncounter'!P53,'원본_CardLimitBreak'!$C$2:$C$4)</x:f>
        <x:v>8</x:v>
      </x:c>
      <x:c r="Q58" s="8" t="n">
        <x:f>SUM(K58:P58)</x:f>
        <x:v>71</x:v>
      </x:c>
      <x:c r="R58" s="8"/>
    </x:row>
    <x:row r="59" ht="23" customHeight="1">
      <x:c r="A59" s="8" t="n">
        <x:f>'원본_RankAiEncounter'!B54</x:f>
        <x:v>10</x:v>
      </x:c>
      <x:c r="B59" s="8" t="str">
        <x:f>'원본_RankAiEncounter'!C54</x:f>
        <x:v>Normal</x:v>
      </x:c>
      <x:c r="C59" s="8" t="str">
        <x:f>'원본_RankAiEncounter'!D54</x:f>
        <x:v>deck_06</x:v>
      </x:c>
      <x:c r="D59" s="8" t="n">
        <x:f>MAX(1,VLOOKUP(C59,'원본_AIDeck'!$B$2:$N$47,5,FALSE))</x:f>
        <x:v>1</x:v>
      </x:c>
      <x:c r="E59" s="8" t="n">
        <x:f>VLOOKUP(C59,'원본_AIDeck'!$B$2:$N$47,8,FALSE)</x:f>
        <x:v>15</x:v>
      </x:c>
      <x:c r="F59" s="8" t="n">
        <x:f>VLOOKUP(C59,'원본_AIDeck'!$B$2:$N$47,9,FALSE)</x:f>
        <x:v>16</x:v>
      </x:c>
      <x:c r="G59" s="8" t="n">
        <x:f>VLOOKUP(C59,'원본_AIDeck'!$B$2:$N$47,10,FALSE)</x:f>
        <x:v>25</x:v>
      </x:c>
      <x:c r="H59" s="8" t="n">
        <x:f>VLOOKUP(C59,'원본_AIDeck'!$B$2:$N$47,11,FALSE)</x:f>
        <x:v>20</x:v>
      </x:c>
      <x:c r="I59" s="8" t="n">
        <x:f>VLOOKUP(C59,'원본_AIDeck'!$B$2:$N$47,12,FALSE)</x:f>
        <x:v>6</x:v>
      </x:c>
      <x:c r="J59" s="8" t="n">
        <x:f>VLOOKUP(C59,'원본_AIDeck'!$B$2:$N$47,13,FALSE)</x:f>
        <x:v>38</x:v>
      </x:c>
      <x:c r="K59" s="8" t="n">
        <x:f>VLOOKUP(E59,'카드성장'!$A$7:$G$46,'원본_RankAiEncounter'!E54+2,FALSE)+SUMIF('원본_CardLimitBreak'!$B$2:$B$4,"&lt;="&amp;'원본_RankAiEncounter'!K54,'원본_CardLimitBreak'!$C$2:$C$4)</x:f>
        <x:v>15</x:v>
      </x:c>
      <x:c r="L59" s="8" t="n">
        <x:f>VLOOKUP(F59,'카드성장'!$A$7:$G$46,'원본_RankAiEncounter'!F54+2,FALSE)+SUMIF('원본_CardLimitBreak'!$B$2:$B$4,"&lt;="&amp;'원본_RankAiEncounter'!L54,'원본_CardLimitBreak'!$C$2:$C$4)</x:f>
        <x:v>7</x:v>
      </x:c>
      <x:c r="M59" s="8" t="n">
        <x:f>VLOOKUP(G59,'카드성장'!$A$7:$G$46,'원본_RankAiEncounter'!G54+2,FALSE)+SUMIF('원본_CardLimitBreak'!$B$2:$B$4,"&lt;="&amp;'원본_RankAiEncounter'!M54,'원본_CardLimitBreak'!$C$2:$C$4)</x:f>
        <x:v>17</x:v>
      </x:c>
      <x:c r="N59" s="8" t="n">
        <x:f>VLOOKUP(H59,'카드성장'!$A$7:$G$46,'원본_RankAiEncounter'!H54+2,FALSE)+SUMIF('원본_CardLimitBreak'!$B$2:$B$4,"&lt;="&amp;'원본_RankAiEncounter'!N54,'원본_CardLimitBreak'!$C$2:$C$4)</x:f>
        <x:v>8</x:v>
      </x:c>
      <x:c r="O59" s="8" t="n">
        <x:f>VLOOKUP(I59,'카드성장'!$A$7:$G$46,'원본_RankAiEncounter'!I54+2,FALSE)+SUMIF('원본_CardLimitBreak'!$B$2:$B$4,"&lt;="&amp;'원본_RankAiEncounter'!O54,'원본_CardLimitBreak'!$C$2:$C$4)</x:f>
        <x:v>10</x:v>
      </x:c>
      <x:c r="P59" s="8" t="n">
        <x:f>VLOOKUP(J59,'카드성장'!$A$7:$G$46,'원본_RankAiEncounter'!J54+2,FALSE)+SUMIF('원본_CardLimitBreak'!$B$2:$B$4,"&lt;="&amp;'원본_RankAiEncounter'!P54,'원본_CardLimitBreak'!$C$2:$C$4)</x:f>
        <x:v>18</x:v>
      </x:c>
      <x:c r="Q59" s="8" t="n">
        <x:f>SUM(K59:P59)</x:f>
        <x:v>75</x:v>
      </x:c>
      <x:c r="R59" s="8"/>
    </x:row>
    <x:row r="60" ht="23" customHeight="1">
      <x:c r="A60" s="8" t="n">
        <x:f>'원본_RankAiEncounter'!B55</x:f>
        <x:v>10</x:v>
      </x:c>
      <x:c r="B60" s="8" t="str">
        <x:f>'원본_RankAiEncounter'!C55</x:f>
        <x:v>Normal</x:v>
      </x:c>
      <x:c r="C60" s="8" t="str">
        <x:f>'원본_RankAiEncounter'!D55</x:f>
        <x:v>deck_07</x:v>
      </x:c>
      <x:c r="D60" s="8" t="n">
        <x:f>MAX(1,VLOOKUP(C60,'원본_AIDeck'!$B$2:$N$47,5,FALSE))</x:f>
        <x:v>1</x:v>
      </x:c>
      <x:c r="E60" s="8" t="n">
        <x:f>VLOOKUP(C60,'원본_AIDeck'!$B$2:$N$47,8,FALSE)</x:f>
        <x:v>8</x:v>
      </x:c>
      <x:c r="F60" s="8" t="n">
        <x:f>VLOOKUP(C60,'원본_AIDeck'!$B$2:$N$47,9,FALSE)</x:f>
        <x:v>9</x:v>
      </x:c>
      <x:c r="G60" s="8" t="n">
        <x:f>VLOOKUP(C60,'원본_AIDeck'!$B$2:$N$47,10,FALSE)</x:f>
        <x:v>10</x:v>
      </x:c>
      <x:c r="H60" s="8" t="n">
        <x:f>VLOOKUP(C60,'원본_AIDeck'!$B$2:$N$47,11,FALSE)</x:f>
        <x:v>20</x:v>
      </x:c>
      <x:c r="I60" s="8" t="n">
        <x:f>VLOOKUP(C60,'원본_AIDeck'!$B$2:$N$47,12,FALSE)</x:f>
        <x:v>6</x:v>
      </x:c>
      <x:c r="J60" s="8" t="n">
        <x:f>VLOOKUP(C60,'원본_AIDeck'!$B$2:$N$47,13,FALSE)</x:f>
        <x:v>27</x:v>
      </x:c>
      <x:c r="K60" s="8" t="n">
        <x:f>VLOOKUP(E60,'카드성장'!$A$7:$G$46,'원본_RankAiEncounter'!E55+2,FALSE)+SUMIF('원본_CardLimitBreak'!$B$2:$B$4,"&lt;="&amp;'원본_RankAiEncounter'!K55,'원본_CardLimitBreak'!$C$2:$C$4)</x:f>
        <x:v>8</x:v>
      </x:c>
      <x:c r="L60" s="8" t="n">
        <x:f>VLOOKUP(F60,'카드성장'!$A$7:$G$46,'원본_RankAiEncounter'!F55+2,FALSE)+SUMIF('원본_CardLimitBreak'!$B$2:$B$4,"&lt;="&amp;'원본_RankAiEncounter'!L55,'원본_CardLimitBreak'!$C$2:$C$4)</x:f>
        <x:v>14</x:v>
      </x:c>
      <x:c r="M60" s="8" t="n">
        <x:f>VLOOKUP(G60,'카드성장'!$A$7:$G$46,'원본_RankAiEncounter'!G55+2,FALSE)+SUMIF('원본_CardLimitBreak'!$B$2:$B$4,"&lt;="&amp;'원본_RankAiEncounter'!M55,'원본_CardLimitBreak'!$C$2:$C$4)</x:f>
        <x:v>17</x:v>
      </x:c>
      <x:c r="N60" s="8" t="n">
        <x:f>VLOOKUP(H60,'카드성장'!$A$7:$G$46,'원본_RankAiEncounter'!H55+2,FALSE)+SUMIF('원본_CardLimitBreak'!$B$2:$B$4,"&lt;="&amp;'원본_RankAiEncounter'!N55,'원본_CardLimitBreak'!$C$2:$C$4)</x:f>
        <x:v>18</x:v>
      </x:c>
      <x:c r="O60" s="8" t="n">
        <x:f>VLOOKUP(I60,'카드성장'!$A$7:$G$46,'원본_RankAiEncounter'!I55+2,FALSE)+SUMIF('원본_CardLimitBreak'!$B$2:$B$4,"&lt;="&amp;'원본_RankAiEncounter'!O55,'원본_CardLimitBreak'!$C$2:$C$4)</x:f>
        <x:v>10</x:v>
      </x:c>
      <x:c r="P60" s="8" t="n">
        <x:f>VLOOKUP(J60,'카드성장'!$A$7:$G$46,'원본_RankAiEncounter'!J55+2,FALSE)+SUMIF('원본_CardLimitBreak'!$B$2:$B$4,"&lt;="&amp;'원본_RankAiEncounter'!P55,'원본_CardLimitBreak'!$C$2:$C$4)</x:f>
        <x:v>7</x:v>
      </x:c>
      <x:c r="Q60" s="8" t="n">
        <x:f>SUM(K60:P60)</x:f>
        <x:v>74</x:v>
      </x:c>
      <x:c r="R60" s="8"/>
    </x:row>
    <x:row r="61" ht="23" customHeight="1">
      <x:c r="A61" s="8" t="n">
        <x:f>'원본_RankAiEncounter'!B56</x:f>
        <x:v>10</x:v>
      </x:c>
      <x:c r="B61" s="8" t="str">
        <x:f>'원본_RankAiEncounter'!C56</x:f>
        <x:v>Normal</x:v>
      </x:c>
      <x:c r="C61" s="8" t="str">
        <x:f>'원본_RankAiEncounter'!D56</x:f>
        <x:v>deck_08</x:v>
      </x:c>
      <x:c r="D61" s="8" t="n">
        <x:f>MAX(1,VLOOKUP(C61,'원본_AIDeck'!$B$2:$N$47,5,FALSE))</x:f>
        <x:v>1</x:v>
      </x:c>
      <x:c r="E61" s="8" t="n">
        <x:f>VLOOKUP(C61,'원본_AIDeck'!$B$2:$N$47,8,FALSE)</x:f>
        <x:v>5</x:v>
      </x:c>
      <x:c r="F61" s="8" t="n">
        <x:f>VLOOKUP(C61,'원본_AIDeck'!$B$2:$N$47,9,FALSE)</x:f>
        <x:v>6</x:v>
      </x:c>
      <x:c r="G61" s="8" t="n">
        <x:f>VLOOKUP(C61,'원본_AIDeck'!$B$2:$N$47,10,FALSE)</x:f>
        <x:v>33</x:v>
      </x:c>
      <x:c r="H61" s="8" t="n">
        <x:f>VLOOKUP(C61,'원본_AIDeck'!$B$2:$N$47,11,FALSE)</x:f>
        <x:v>28</x:v>
      </x:c>
      <x:c r="I61" s="8" t="n">
        <x:f>VLOOKUP(C61,'원본_AIDeck'!$B$2:$N$47,12,FALSE)</x:f>
        <x:v>12</x:v>
      </x:c>
      <x:c r="J61" s="8" t="n">
        <x:f>VLOOKUP(C61,'원본_AIDeck'!$B$2:$N$47,13,FALSE)</x:f>
        <x:v>10</x:v>
      </x:c>
      <x:c r="K61" s="8" t="n">
        <x:f>VLOOKUP(E61,'카드성장'!$A$7:$G$46,'원본_RankAiEncounter'!E56+2,FALSE)+SUMIF('원본_CardLimitBreak'!$B$2:$B$4,"&lt;="&amp;'원본_RankAiEncounter'!K56,'원본_CardLimitBreak'!$C$2:$C$4)</x:f>
        <x:v>20</x:v>
      </x:c>
      <x:c r="L61" s="8" t="n">
        <x:f>VLOOKUP(F61,'카드성장'!$A$7:$G$46,'원본_RankAiEncounter'!F56+2,FALSE)+SUMIF('원본_CardLimitBreak'!$B$2:$B$4,"&lt;="&amp;'원본_RankAiEncounter'!L56,'원본_CardLimitBreak'!$C$2:$C$4)</x:f>
        <x:v>10</x:v>
      </x:c>
      <x:c r="M61" s="8" t="n">
        <x:f>VLOOKUP(G61,'카드성장'!$A$7:$G$46,'원본_RankAiEncounter'!G56+2,FALSE)+SUMIF('원본_CardLimitBreak'!$B$2:$B$4,"&lt;="&amp;'원본_RankAiEncounter'!M56,'원본_CardLimitBreak'!$C$2:$C$4)</x:f>
        <x:v>7</x:v>
      </x:c>
      <x:c r="N61" s="8" t="n">
        <x:f>VLOOKUP(H61,'카드성장'!$A$7:$G$46,'원본_RankAiEncounter'!H56+2,FALSE)+SUMIF('원본_CardLimitBreak'!$B$2:$B$4,"&lt;="&amp;'원본_RankAiEncounter'!N56,'원본_CardLimitBreak'!$C$2:$C$4)</x:f>
        <x:v>10</x:v>
      </x:c>
      <x:c r="O61" s="8" t="n">
        <x:f>VLOOKUP(I61,'카드성장'!$A$7:$G$46,'원본_RankAiEncounter'!I56+2,FALSE)+SUMIF('원본_CardLimitBreak'!$B$2:$B$4,"&lt;="&amp;'원본_RankAiEncounter'!O56,'원본_CardLimitBreak'!$C$2:$C$4)</x:f>
        <x:v>18</x:v>
      </x:c>
      <x:c r="P61" s="8" t="n">
        <x:f>VLOOKUP(J61,'카드성장'!$A$7:$G$46,'원본_RankAiEncounter'!J56+2,FALSE)+SUMIF('원본_CardLimitBreak'!$B$2:$B$4,"&lt;="&amp;'원본_RankAiEncounter'!P56,'원본_CardLimitBreak'!$C$2:$C$4)</x:f>
        <x:v>17</x:v>
      </x:c>
      <x:c r="Q61" s="8" t="n">
        <x:f>SUM(K61:P61)</x:f>
        <x:v>82</x:v>
      </x:c>
      <x:c r="R61" s="8"/>
    </x:row>
    <x:row r="62" ht="23" customHeight="1">
      <x:c r="A62" s="8" t="n">
        <x:f>'원본_RankAiEncounter'!B57</x:f>
        <x:v>10</x:v>
      </x:c>
      <x:c r="B62" s="8" t="str">
        <x:f>'원본_RankAiEncounter'!C57</x:f>
        <x:v>Normal</x:v>
      </x:c>
      <x:c r="C62" s="8" t="str">
        <x:f>'원본_RankAiEncounter'!D57</x:f>
        <x:v>deck_19</x:v>
      </x:c>
      <x:c r="D62" s="8" t="n">
        <x:f>MAX(1,VLOOKUP(C62,'원본_AIDeck'!$B$2:$N$47,5,FALSE))</x:f>
        <x:v>1</x:v>
      </x:c>
      <x:c r="E62" s="8" t="n">
        <x:f>VLOOKUP(C62,'원본_AIDeck'!$B$2:$N$47,8,FALSE)</x:f>
        <x:v>31</x:v>
      </x:c>
      <x:c r="F62" s="8" t="n">
        <x:f>VLOOKUP(C62,'원본_AIDeck'!$B$2:$N$47,9,FALSE)</x:f>
        <x:v>37</x:v>
      </x:c>
      <x:c r="G62" s="8" t="n">
        <x:f>VLOOKUP(C62,'원본_AIDeck'!$B$2:$N$47,10,FALSE)</x:f>
        <x:v>29</x:v>
      </x:c>
      <x:c r="H62" s="8" t="n">
        <x:f>VLOOKUP(C62,'원본_AIDeck'!$B$2:$N$47,11,FALSE)</x:f>
        <x:v>20</x:v>
      </x:c>
      <x:c r="I62" s="8" t="n">
        <x:f>VLOOKUP(C62,'원본_AIDeck'!$B$2:$N$47,12,FALSE)</x:f>
        <x:v>6</x:v>
      </x:c>
      <x:c r="J62" s="8" t="n">
        <x:f>VLOOKUP(C62,'원본_AIDeck'!$B$2:$N$47,13,FALSE)</x:f>
        <x:v>27</x:v>
      </x:c>
      <x:c r="K62" s="8" t="n">
        <x:f>VLOOKUP(E62,'카드성장'!$A$7:$G$46,'원본_RankAiEncounter'!E57+2,FALSE)+SUMIF('원본_CardLimitBreak'!$B$2:$B$4,"&lt;="&amp;'원본_RankAiEncounter'!K57,'원본_CardLimitBreak'!$C$2:$C$4)</x:f>
        <x:v>18</x:v>
      </x:c>
      <x:c r="L62" s="8" t="n">
        <x:f>VLOOKUP(F62,'카드성장'!$A$7:$G$46,'원본_RankAiEncounter'!F57+2,FALSE)+SUMIF('원본_CardLimitBreak'!$B$2:$B$4,"&lt;="&amp;'원본_RankAiEncounter'!L57,'원본_CardLimitBreak'!$C$2:$C$4)</x:f>
        <x:v>17</x:v>
      </x:c>
      <x:c r="M62" s="8" t="n">
        <x:f>VLOOKUP(G62,'카드성장'!$A$7:$G$46,'원본_RankAiEncounter'!G57+2,FALSE)+SUMIF('원본_CardLimitBreak'!$B$2:$B$4,"&lt;="&amp;'원본_RankAiEncounter'!M57,'원본_CardLimitBreak'!$C$2:$C$4)</x:f>
        <x:v>16</x:v>
      </x:c>
      <x:c r="N62" s="8" t="n">
        <x:f>VLOOKUP(H62,'카드성장'!$A$7:$G$46,'원본_RankAiEncounter'!H57+2,FALSE)+SUMIF('원본_CardLimitBreak'!$B$2:$B$4,"&lt;="&amp;'원본_RankAiEncounter'!N57,'원본_CardLimitBreak'!$C$2:$C$4)</x:f>
        <x:v>8</x:v>
      </x:c>
      <x:c r="O62" s="8" t="n">
        <x:f>VLOOKUP(I62,'카드성장'!$A$7:$G$46,'원본_RankAiEncounter'!I57+2,FALSE)+SUMIF('원본_CardLimitBreak'!$B$2:$B$4,"&lt;="&amp;'원본_RankAiEncounter'!O57,'원본_CardLimitBreak'!$C$2:$C$4)</x:f>
        <x:v>10</x:v>
      </x:c>
      <x:c r="P62" s="8" t="n">
        <x:f>VLOOKUP(J62,'카드성장'!$A$7:$G$46,'원본_RankAiEncounter'!J57+2,FALSE)+SUMIF('원본_CardLimitBreak'!$B$2:$B$4,"&lt;="&amp;'원본_RankAiEncounter'!P57,'원본_CardLimitBreak'!$C$2:$C$4)</x:f>
        <x:v>7</x:v>
      </x:c>
      <x:c r="Q62" s="8" t="n">
        <x:f>SUM(K62:P62)</x:f>
        <x:v>76</x:v>
      </x:c>
      <x:c r="R62" s="8"/>
    </x:row>
    <x:row r="63" ht="23" customHeight="1">
      <x:c r="A63" s="8" t="n">
        <x:f>'원본_RankAiEncounter'!B58</x:f>
        <x:v>10</x:v>
      </x:c>
      <x:c r="B63" s="8" t="str">
        <x:f>'원본_RankAiEncounter'!C58</x:f>
        <x:v>Normal</x:v>
      </x:c>
      <x:c r="C63" s="8" t="str">
        <x:f>'원본_RankAiEncounter'!D58</x:f>
        <x:v>deck_20</x:v>
      </x:c>
      <x:c r="D63" s="8" t="n">
        <x:f>MAX(1,VLOOKUP(C63,'원본_AIDeck'!$B$2:$N$47,5,FALSE))</x:f>
        <x:v>1</x:v>
      </x:c>
      <x:c r="E63" s="8" t="n">
        <x:f>VLOOKUP(C63,'원본_AIDeck'!$B$2:$N$47,8,FALSE)</x:f>
        <x:v>6</x:v>
      </x:c>
      <x:c r="F63" s="8" t="n">
        <x:f>VLOOKUP(C63,'원본_AIDeck'!$B$2:$N$47,9,FALSE)</x:f>
        <x:v>38</x:v>
      </x:c>
      <x:c r="G63" s="8" t="n">
        <x:f>VLOOKUP(C63,'원본_AIDeck'!$B$2:$N$47,10,FALSE)</x:f>
        <x:v>20</x:v>
      </x:c>
      <x:c r="H63" s="8" t="n">
        <x:f>VLOOKUP(C63,'원본_AIDeck'!$B$2:$N$47,11,FALSE)</x:f>
        <x:v>30</x:v>
      </x:c>
      <x:c r="I63" s="8" t="n">
        <x:f>VLOOKUP(C63,'원본_AIDeck'!$B$2:$N$47,12,FALSE)</x:f>
        <x:v>23</x:v>
      </x:c>
      <x:c r="J63" s="8" t="n">
        <x:f>VLOOKUP(C63,'원본_AIDeck'!$B$2:$N$47,13,FALSE)</x:f>
        <x:v>27</x:v>
      </x:c>
      <x:c r="K63" s="8" t="n">
        <x:f>VLOOKUP(E63,'카드성장'!$A$7:$G$46,'원본_RankAiEncounter'!E58+2,FALSE)+SUMIF('원본_CardLimitBreak'!$B$2:$B$4,"&lt;="&amp;'원본_RankAiEncounter'!K58,'원본_CardLimitBreak'!$C$2:$C$4)</x:f>
        <x:v>20</x:v>
      </x:c>
      <x:c r="L63" s="8" t="n">
        <x:f>VLOOKUP(F63,'카드성장'!$A$7:$G$46,'원본_RankAiEncounter'!F58+2,FALSE)+SUMIF('원본_CardLimitBreak'!$B$2:$B$4,"&lt;="&amp;'원본_RankAiEncounter'!L58,'원본_CardLimitBreak'!$C$2:$C$4)</x:f>
        <x:v>18</x:v>
      </x:c>
      <x:c r="M63" s="8" t="n">
        <x:f>VLOOKUP(G63,'카드성장'!$A$7:$G$46,'원본_RankAiEncounter'!G58+2,FALSE)+SUMIF('원본_CardLimitBreak'!$B$2:$B$4,"&lt;="&amp;'원본_RankAiEncounter'!M58,'원본_CardLimitBreak'!$C$2:$C$4)</x:f>
        <x:v>18</x:v>
      </x:c>
      <x:c r="N63" s="8" t="n">
        <x:f>VLOOKUP(H63,'카드성장'!$A$7:$G$46,'원본_RankAiEncounter'!H58+2,FALSE)+SUMIF('원본_CardLimitBreak'!$B$2:$B$4,"&lt;="&amp;'원본_RankAiEncounter'!N58,'원본_CardLimitBreak'!$C$2:$C$4)</x:f>
        <x:v>8</x:v>
      </x:c>
      <x:c r="O63" s="8" t="n">
        <x:f>VLOOKUP(I63,'카드성장'!$A$7:$G$46,'원본_RankAiEncounter'!I58+2,FALSE)+SUMIF('원본_CardLimitBreak'!$B$2:$B$4,"&lt;="&amp;'원본_RankAiEncounter'!O58,'원본_CardLimitBreak'!$C$2:$C$4)</x:f>
        <x:v>9</x:v>
      </x:c>
      <x:c r="P63" s="8" t="n">
        <x:f>VLOOKUP(J63,'카드성장'!$A$7:$G$46,'원본_RankAiEncounter'!J58+2,FALSE)+SUMIF('원본_CardLimitBreak'!$B$2:$B$4,"&lt;="&amp;'원본_RankAiEncounter'!P58,'원본_CardLimitBreak'!$C$2:$C$4)</x:f>
        <x:v>7</x:v>
      </x:c>
      <x:c r="Q63" s="8" t="n">
        <x:f>SUM(K63:P63)</x:f>
        <x:v>80</x:v>
      </x:c>
      <x:c r="R63" s="8"/>
    </x:row>
    <x:row r="64" ht="23" customHeight="1">
      <x:c r="A64" s="8" t="n">
        <x:f>'원본_RankAiEncounter'!B59</x:f>
        <x:v>10</x:v>
      </x:c>
      <x:c r="B64" s="8" t="str">
        <x:f>'원본_RankAiEncounter'!C59</x:f>
        <x:v>Normal</x:v>
      </x:c>
      <x:c r="C64" s="8" t="str">
        <x:f>'원본_RankAiEncounter'!D59</x:f>
        <x:v>deck_21</x:v>
      </x:c>
      <x:c r="D64" s="8" t="n">
        <x:f>MAX(1,VLOOKUP(C64,'원본_AIDeck'!$B$2:$N$47,5,FALSE))</x:f>
        <x:v>1</x:v>
      </x:c>
      <x:c r="E64" s="8" t="n">
        <x:f>VLOOKUP(C64,'원본_AIDeck'!$B$2:$N$47,8,FALSE)</x:f>
        <x:v>17</x:v>
      </x:c>
      <x:c r="F64" s="8" t="n">
        <x:f>VLOOKUP(C64,'원본_AIDeck'!$B$2:$N$47,9,FALSE)</x:f>
        <x:v>18</x:v>
      </x:c>
      <x:c r="G64" s="8" t="n">
        <x:f>VLOOKUP(C64,'원본_AIDeck'!$B$2:$N$47,10,FALSE)</x:f>
        <x:v>6</x:v>
      </x:c>
      <x:c r="H64" s="8" t="n">
        <x:f>VLOOKUP(C64,'원본_AIDeck'!$B$2:$N$47,11,FALSE)</x:f>
        <x:v>19</x:v>
      </x:c>
      <x:c r="I64" s="8" t="n">
        <x:f>VLOOKUP(C64,'원본_AIDeck'!$B$2:$N$47,12,FALSE)</x:f>
        <x:v>13</x:v>
      </x:c>
      <x:c r="J64" s="8" t="n">
        <x:f>VLOOKUP(C64,'원본_AIDeck'!$B$2:$N$47,13,FALSE)</x:f>
        <x:v>14</x:v>
      </x:c>
      <x:c r="K64" s="8" t="n">
        <x:f>VLOOKUP(E64,'카드성장'!$A$7:$G$46,'원본_RankAiEncounter'!E59+2,FALSE)+SUMIF('원본_CardLimitBreak'!$B$2:$B$4,"&lt;="&amp;'원본_RankAiEncounter'!K59,'원본_CardLimitBreak'!$C$2:$C$4)</x:f>
        <x:v>15</x:v>
      </x:c>
      <x:c r="L64" s="8" t="n">
        <x:f>VLOOKUP(F64,'카드성장'!$A$7:$G$46,'원본_RankAiEncounter'!F59+2,FALSE)+SUMIF('원본_CardLimitBreak'!$B$2:$B$4,"&lt;="&amp;'원본_RankAiEncounter'!L59,'원본_CardLimitBreak'!$C$2:$C$4)</x:f>
        <x:v>14</x:v>
      </x:c>
      <x:c r="M64" s="8" t="n">
        <x:f>VLOOKUP(G64,'카드성장'!$A$7:$G$46,'원본_RankAiEncounter'!G59+2,FALSE)+SUMIF('원본_CardLimitBreak'!$B$2:$B$4,"&lt;="&amp;'원본_RankAiEncounter'!M59,'원본_CardLimitBreak'!$C$2:$C$4)</x:f>
        <x:v>10</x:v>
      </x:c>
      <x:c r="N64" s="8" t="n">
        <x:f>VLOOKUP(H64,'카드성장'!$A$7:$G$46,'원본_RankAiEncounter'!H59+2,FALSE)+SUMIF('원본_CardLimitBreak'!$B$2:$B$4,"&lt;="&amp;'원본_RankAiEncounter'!N59,'원본_CardLimitBreak'!$C$2:$C$4)</x:f>
        <x:v>16</x:v>
      </x:c>
      <x:c r="O64" s="8" t="n">
        <x:f>VLOOKUP(I64,'카드성장'!$A$7:$G$46,'원본_RankAiEncounter'!I59+2,FALSE)+SUMIF('원본_CardLimitBreak'!$B$2:$B$4,"&lt;="&amp;'원본_RankAiEncounter'!O59,'원본_CardLimitBreak'!$C$2:$C$4)</x:f>
        <x:v>9</x:v>
      </x:c>
      <x:c r="P64" s="8" t="n">
        <x:f>VLOOKUP(J64,'카드성장'!$A$7:$G$46,'원본_RankAiEncounter'!J59+2,FALSE)+SUMIF('원본_CardLimitBreak'!$B$2:$B$4,"&lt;="&amp;'원본_RankAiEncounter'!P59,'원본_CardLimitBreak'!$C$2:$C$4)</x:f>
        <x:v>8</x:v>
      </x:c>
      <x:c r="Q64" s="8" t="n">
        <x:f>SUM(K64:P64)</x:f>
        <x:v>72</x:v>
      </x:c>
      <x:c r="R64" s="8"/>
    </x:row>
    <x:row r="65" ht="23" customHeight="1">
      <x:c r="A65" s="8" t="n">
        <x:f>'원본_RankAiEncounter'!B60</x:f>
        <x:v>10</x:v>
      </x:c>
      <x:c r="B65" s="8" t="str">
        <x:f>'원본_RankAiEncounter'!C60</x:f>
        <x:v>Normal</x:v>
      </x:c>
      <x:c r="C65" s="8" t="str">
        <x:f>'원본_RankAiEncounter'!D60</x:f>
        <x:v>deck_22</x:v>
      </x:c>
      <x:c r="D65" s="8" t="n">
        <x:f>MAX(1,VLOOKUP(C65,'원본_AIDeck'!$B$2:$N$47,5,FALSE))</x:f>
        <x:v>1</x:v>
      </x:c>
      <x:c r="E65" s="8" t="n">
        <x:f>VLOOKUP(C65,'원본_AIDeck'!$B$2:$N$47,8,FALSE)</x:f>
        <x:v>5</x:v>
      </x:c>
      <x:c r="F65" s="8" t="n">
        <x:f>VLOOKUP(C65,'원본_AIDeck'!$B$2:$N$47,9,FALSE)</x:f>
        <x:v>12</x:v>
      </x:c>
      <x:c r="G65" s="8" t="n">
        <x:f>VLOOKUP(C65,'원본_AIDeck'!$B$2:$N$47,10,FALSE)</x:f>
        <x:v>29</x:v>
      </x:c>
      <x:c r="H65" s="8" t="n">
        <x:f>VLOOKUP(C65,'원본_AIDeck'!$B$2:$N$47,11,FALSE)</x:f>
        <x:v>20</x:v>
      </x:c>
      <x:c r="I65" s="8" t="n">
        <x:f>VLOOKUP(C65,'원본_AIDeck'!$B$2:$N$47,12,FALSE)</x:f>
        <x:v>28</x:v>
      </x:c>
      <x:c r="J65" s="8" t="n">
        <x:f>VLOOKUP(C65,'원본_AIDeck'!$B$2:$N$47,13,FALSE)</x:f>
        <x:v>6</x:v>
      </x:c>
      <x:c r="K65" s="8" t="n">
        <x:f>VLOOKUP(E65,'카드성장'!$A$7:$G$46,'원본_RankAiEncounter'!E60+2,FALSE)+SUMIF('원본_CardLimitBreak'!$B$2:$B$4,"&lt;="&amp;'원본_RankAiEncounter'!K60,'원본_CardLimitBreak'!$C$2:$C$4)</x:f>
        <x:v>20</x:v>
      </x:c>
      <x:c r="L65" s="8" t="n">
        <x:f>VLOOKUP(F65,'카드성장'!$A$7:$G$46,'원본_RankAiEncounter'!F60+2,FALSE)+SUMIF('원본_CardLimitBreak'!$B$2:$B$4,"&lt;="&amp;'원본_RankAiEncounter'!L60,'원본_CardLimitBreak'!$C$2:$C$4)</x:f>
        <x:v>18</x:v>
      </x:c>
      <x:c r="M65" s="8" t="n">
        <x:f>VLOOKUP(G65,'카드성장'!$A$7:$G$46,'원본_RankAiEncounter'!G60+2,FALSE)+SUMIF('원본_CardLimitBreak'!$B$2:$B$4,"&lt;="&amp;'원본_RankAiEncounter'!M60,'원본_CardLimitBreak'!$C$2:$C$4)</x:f>
        <x:v>16</x:v>
      </x:c>
      <x:c r="N65" s="8" t="n">
        <x:f>VLOOKUP(H65,'카드성장'!$A$7:$G$46,'원본_RankAiEncounter'!H60+2,FALSE)+SUMIF('원본_CardLimitBreak'!$B$2:$B$4,"&lt;="&amp;'원본_RankAiEncounter'!N60,'원본_CardLimitBreak'!$C$2:$C$4)</x:f>
        <x:v>8</x:v>
      </x:c>
      <x:c r="O65" s="8" t="n">
        <x:f>VLOOKUP(I65,'카드성장'!$A$7:$G$46,'원본_RankAiEncounter'!I60+2,FALSE)+SUMIF('원본_CardLimitBreak'!$B$2:$B$4,"&lt;="&amp;'원본_RankAiEncounter'!O60,'원본_CardLimitBreak'!$C$2:$C$4)</x:f>
        <x:v>10</x:v>
      </x:c>
      <x:c r="P65" s="8" t="n">
        <x:f>VLOOKUP(J65,'카드성장'!$A$7:$G$46,'원본_RankAiEncounter'!J60+2,FALSE)+SUMIF('원본_CardLimitBreak'!$B$2:$B$4,"&lt;="&amp;'원본_RankAiEncounter'!P60,'원본_CardLimitBreak'!$C$2:$C$4)</x:f>
        <x:v>10</x:v>
      </x:c>
      <x:c r="Q65" s="8" t="n">
        <x:f>SUM(K65:P65)</x:f>
        <x:v>82</x:v>
      </x:c>
      <x:c r="R65" s="8"/>
    </x:row>
    <x:row r="66" ht="23" customHeight="1">
      <x:c r="A66" s="8" t="n">
        <x:f>'원본_RankAiEncounter'!B61</x:f>
        <x:v>11</x:v>
      </x:c>
      <x:c r="B66" s="8" t="str">
        <x:f>'원본_RankAiEncounter'!C61</x:f>
        <x:v>Normal</x:v>
      </x:c>
      <x:c r="C66" s="8" t="str">
        <x:f>'원본_RankAiEncounter'!D61</x:f>
        <x:v>deck_01</x:v>
      </x:c>
      <x:c r="D66" s="8" t="n">
        <x:f>MAX(1,VLOOKUP(C66,'원본_AIDeck'!$B$2:$N$47,5,FALSE))</x:f>
        <x:v>1</x:v>
      </x:c>
      <x:c r="E66" s="8" t="n">
        <x:f>VLOOKUP(C66,'원본_AIDeck'!$B$2:$N$47,8,FALSE)</x:f>
        <x:v>20</x:v>
      </x:c>
      <x:c r="F66" s="8" t="n">
        <x:f>VLOOKUP(C66,'원본_AIDeck'!$B$2:$N$47,9,FALSE)</x:f>
        <x:v>18</x:v>
      </x:c>
      <x:c r="G66" s="8" t="n">
        <x:f>VLOOKUP(C66,'원본_AIDeck'!$B$2:$N$47,10,FALSE)</x:f>
        <x:v>19</x:v>
      </x:c>
      <x:c r="H66" s="8" t="n">
        <x:f>VLOOKUP(C66,'원본_AIDeck'!$B$2:$N$47,11,FALSE)</x:f>
        <x:v>6</x:v>
      </x:c>
      <x:c r="I66" s="8" t="n">
        <x:f>VLOOKUP(C66,'원본_AIDeck'!$B$2:$N$47,12,FALSE)</x:f>
        <x:v>13</x:v>
      </x:c>
      <x:c r="J66" s="8" t="n">
        <x:f>VLOOKUP(C66,'원본_AIDeck'!$B$2:$N$47,13,FALSE)</x:f>
        <x:v>14</x:v>
      </x:c>
      <x:c r="K66" s="8" t="n">
        <x:f>VLOOKUP(E66,'카드성장'!$A$7:$G$46,'원본_RankAiEncounter'!E61+2,FALSE)+SUMIF('원본_CardLimitBreak'!$B$2:$B$4,"&lt;="&amp;'원본_RankAiEncounter'!K61,'원본_CardLimitBreak'!$C$2:$C$4)</x:f>
        <x:v>18</x:v>
      </x:c>
      <x:c r="L66" s="8" t="n">
        <x:f>VLOOKUP(F66,'카드성장'!$A$7:$G$46,'원본_RankAiEncounter'!F61+2,FALSE)+SUMIF('원본_CardLimitBreak'!$B$2:$B$4,"&lt;="&amp;'원본_RankAiEncounter'!L61,'원본_CardLimitBreak'!$C$2:$C$4)</x:f>
        <x:v>14</x:v>
      </x:c>
      <x:c r="M66" s="8" t="n">
        <x:f>VLOOKUP(G66,'카드성장'!$A$7:$G$46,'원본_RankAiEncounter'!G61+2,FALSE)+SUMIF('원본_CardLimitBreak'!$B$2:$B$4,"&lt;="&amp;'원본_RankAiEncounter'!M61,'원본_CardLimitBreak'!$C$2:$C$4)</x:f>
        <x:v>17</x:v>
      </x:c>
      <x:c r="N66" s="8" t="n">
        <x:f>VLOOKUP(H66,'카드성장'!$A$7:$G$46,'원본_RankAiEncounter'!H61+2,FALSE)+SUMIF('원본_CardLimitBreak'!$B$2:$B$4,"&lt;="&amp;'원본_RankAiEncounter'!N61,'원본_CardLimitBreak'!$C$2:$C$4)</x:f>
        <x:v>10</x:v>
      </x:c>
      <x:c r="O66" s="8" t="n">
        <x:f>VLOOKUP(I66,'카드성장'!$A$7:$G$46,'원본_RankAiEncounter'!I61+2,FALSE)+SUMIF('원본_CardLimitBreak'!$B$2:$B$4,"&lt;="&amp;'원본_RankAiEncounter'!O61,'원본_CardLimitBreak'!$C$2:$C$4)</x:f>
        <x:v>9</x:v>
      </x:c>
      <x:c r="P66" s="8" t="n">
        <x:f>VLOOKUP(J66,'카드성장'!$A$7:$G$46,'원본_RankAiEncounter'!J61+2,FALSE)+SUMIF('원본_CardLimitBreak'!$B$2:$B$4,"&lt;="&amp;'원본_RankAiEncounter'!P61,'원본_CardLimitBreak'!$C$2:$C$4)</x:f>
        <x:v>17</x:v>
      </x:c>
      <x:c r="Q66" s="8" t="n">
        <x:f>SUM(K66:P66)</x:f>
        <x:v>85</x:v>
      </x:c>
      <x:c r="R66" s="8"/>
    </x:row>
    <x:row r="67" ht="23" customHeight="1">
      <x:c r="A67" s="8" t="n">
        <x:f>'원본_RankAiEncounter'!B62</x:f>
        <x:v>11</x:v>
      </x:c>
      <x:c r="B67" s="8" t="str">
        <x:f>'원본_RankAiEncounter'!C62</x:f>
        <x:v>Normal</x:v>
      </x:c>
      <x:c r="C67" s="8" t="str">
        <x:f>'원본_RankAiEncounter'!D62</x:f>
        <x:v>deck_02</x:v>
      </x:c>
      <x:c r="D67" s="8" t="n">
        <x:f>MAX(1,VLOOKUP(C67,'원본_AIDeck'!$B$2:$N$47,5,FALSE))</x:f>
        <x:v>1</x:v>
      </x:c>
      <x:c r="E67" s="8" t="n">
        <x:f>VLOOKUP(C67,'원본_AIDeck'!$B$2:$N$47,8,FALSE)</x:f>
        <x:v>20</x:v>
      </x:c>
      <x:c r="F67" s="8" t="n">
        <x:f>VLOOKUP(C67,'원본_AIDeck'!$B$2:$N$47,9,FALSE)</x:f>
        <x:v>18</x:v>
      </x:c>
      <x:c r="G67" s="8" t="n">
        <x:f>VLOOKUP(C67,'원본_AIDeck'!$B$2:$N$47,10,FALSE)</x:f>
        <x:v>19</x:v>
      </x:c>
      <x:c r="H67" s="8" t="n">
        <x:f>VLOOKUP(C67,'원본_AIDeck'!$B$2:$N$47,11,FALSE)</x:f>
        <x:v>4</x:v>
      </x:c>
      <x:c r="I67" s="8" t="n">
        <x:f>VLOOKUP(C67,'원본_AIDeck'!$B$2:$N$47,12,FALSE)</x:f>
        <x:v>37</x:v>
      </x:c>
      <x:c r="J67" s="8" t="n">
        <x:f>VLOOKUP(C67,'원본_AIDeck'!$B$2:$N$47,13,FALSE)</x:f>
        <x:v>31</x:v>
      </x:c>
      <x:c r="K67" s="8" t="n">
        <x:f>VLOOKUP(E67,'카드성장'!$A$7:$G$46,'원본_RankAiEncounter'!E62+2,FALSE)+SUMIF('원본_CardLimitBreak'!$B$2:$B$4,"&lt;="&amp;'원본_RankAiEncounter'!K62,'원본_CardLimitBreak'!$C$2:$C$4)</x:f>
        <x:v>18</x:v>
      </x:c>
      <x:c r="L67" s="8" t="n">
        <x:f>VLOOKUP(F67,'카드성장'!$A$7:$G$46,'원본_RankAiEncounter'!F62+2,FALSE)+SUMIF('원본_CardLimitBreak'!$B$2:$B$4,"&lt;="&amp;'원본_RankAiEncounter'!L62,'원본_CardLimitBreak'!$C$2:$C$4)</x:f>
        <x:v>14</x:v>
      </x:c>
      <x:c r="M67" s="8" t="n">
        <x:f>VLOOKUP(G67,'카드성장'!$A$7:$G$46,'원본_RankAiEncounter'!G62+2,FALSE)+SUMIF('원본_CardLimitBreak'!$B$2:$B$4,"&lt;="&amp;'원본_RankAiEncounter'!M62,'원본_CardLimitBreak'!$C$2:$C$4)</x:f>
        <x:v>17</x:v>
      </x:c>
      <x:c r="N67" s="8" t="n">
        <x:f>VLOOKUP(H67,'카드성장'!$A$7:$G$46,'원본_RankAiEncounter'!H62+2,FALSE)+SUMIF('원본_CardLimitBreak'!$B$2:$B$4,"&lt;="&amp;'원본_RankAiEncounter'!N62,'원본_CardLimitBreak'!$C$2:$C$4)</x:f>
        <x:v>9</x:v>
      </x:c>
      <x:c r="O67" s="8" t="n">
        <x:f>VLOOKUP(I67,'카드성장'!$A$7:$G$46,'원본_RankAiEncounter'!I62+2,FALSE)+SUMIF('원본_CardLimitBreak'!$B$2:$B$4,"&lt;="&amp;'원본_RankAiEncounter'!O62,'원본_CardLimitBreak'!$C$2:$C$4)</x:f>
        <x:v>17</x:v>
      </x:c>
      <x:c r="P67" s="8" t="n">
        <x:f>VLOOKUP(J67,'카드성장'!$A$7:$G$46,'원본_RankAiEncounter'!J62+2,FALSE)+SUMIF('원본_CardLimitBreak'!$B$2:$B$4,"&lt;="&amp;'원본_RankAiEncounter'!P62,'원본_CardLimitBreak'!$C$2:$C$4)</x:f>
        <x:v>9</x:v>
      </x:c>
      <x:c r="Q67" s="8" t="n">
        <x:f>SUM(K67:P67)</x:f>
        <x:v>84</x:v>
      </x:c>
      <x:c r="R67" s="8"/>
    </x:row>
    <x:row r="68" ht="23" customHeight="1">
      <x:c r="A68" s="8" t="n">
        <x:f>'원본_RankAiEncounter'!B63</x:f>
        <x:v>11</x:v>
      </x:c>
      <x:c r="B68" s="8" t="str">
        <x:f>'원본_RankAiEncounter'!C63</x:f>
        <x:v>Normal</x:v>
      </x:c>
      <x:c r="C68" s="8" t="str">
        <x:f>'원본_RankAiEncounter'!D63</x:f>
        <x:v>deck_03</x:v>
      </x:c>
      <x:c r="D68" s="8" t="n">
        <x:f>MAX(1,VLOOKUP(C68,'원본_AIDeck'!$B$2:$N$47,5,FALSE))</x:f>
        <x:v>1</x:v>
      </x:c>
      <x:c r="E68" s="8" t="n">
        <x:f>VLOOKUP(C68,'원본_AIDeck'!$B$2:$N$47,8,FALSE)</x:f>
        <x:v>4</x:v>
      </x:c>
      <x:c r="F68" s="8" t="n">
        <x:f>VLOOKUP(C68,'원본_AIDeck'!$B$2:$N$47,9,FALSE)</x:f>
        <x:v>2</x:v>
      </x:c>
      <x:c r="G68" s="8" t="n">
        <x:f>VLOOKUP(C68,'원본_AIDeck'!$B$2:$N$47,10,FALSE)</x:f>
        <x:v>1</x:v>
      </x:c>
      <x:c r="H68" s="8" t="n">
        <x:f>VLOOKUP(C68,'원본_AIDeck'!$B$2:$N$47,11,FALSE)</x:f>
        <x:v>6</x:v>
      </x:c>
      <x:c r="I68" s="8" t="n">
        <x:f>VLOOKUP(C68,'원본_AIDeck'!$B$2:$N$47,12,FALSE)</x:f>
        <x:v>28</x:v>
      </x:c>
      <x:c r="J68" s="8" t="n">
        <x:f>VLOOKUP(C68,'원본_AIDeck'!$B$2:$N$47,13,FALSE)</x:f>
        <x:v>12</x:v>
      </x:c>
      <x:c r="K68" s="8" t="n">
        <x:f>VLOOKUP(E68,'카드성장'!$A$7:$G$46,'원본_RankAiEncounter'!E63+2,FALSE)+SUMIF('원본_CardLimitBreak'!$B$2:$B$4,"&lt;="&amp;'원본_RankAiEncounter'!K63,'원본_CardLimitBreak'!$C$2:$C$4)</x:f>
        <x:v>18</x:v>
      </x:c>
      <x:c r="L68" s="8" t="n">
        <x:f>VLOOKUP(F68,'카드성장'!$A$7:$G$46,'원본_RankAiEncounter'!F63+2,FALSE)+SUMIF('원본_CardLimitBreak'!$B$2:$B$4,"&lt;="&amp;'원본_RankAiEncounter'!L63,'원본_CardLimitBreak'!$C$2:$C$4)</x:f>
        <x:v>14</x:v>
      </x:c>
      <x:c r="M68" s="8" t="n">
        <x:f>VLOOKUP(G68,'카드성장'!$A$7:$G$46,'원본_RankAiEncounter'!G63+2,FALSE)+SUMIF('원본_CardLimitBreak'!$B$2:$B$4,"&lt;="&amp;'원본_RankAiEncounter'!M63,'원본_CardLimitBreak'!$C$2:$C$4)</x:f>
        <x:v>14</x:v>
      </x:c>
      <x:c r="N68" s="8" t="n">
        <x:f>VLOOKUP(H68,'카드성장'!$A$7:$G$46,'원본_RankAiEncounter'!H63+2,FALSE)+SUMIF('원본_CardLimitBreak'!$B$2:$B$4,"&lt;="&amp;'원본_RankAiEncounter'!N63,'원본_CardLimitBreak'!$C$2:$C$4)</x:f>
        <x:v>10</x:v>
      </x:c>
      <x:c r="O68" s="8" t="n">
        <x:f>VLOOKUP(I68,'카드성장'!$A$7:$G$46,'원본_RankAiEncounter'!I63+2,FALSE)+SUMIF('원본_CardLimitBreak'!$B$2:$B$4,"&lt;="&amp;'원본_RankAiEncounter'!O63,'원본_CardLimitBreak'!$C$2:$C$4)</x:f>
        <x:v>10</x:v>
      </x:c>
      <x:c r="P68" s="8" t="n">
        <x:f>VLOOKUP(J68,'카드성장'!$A$7:$G$46,'원본_RankAiEncounter'!J63+2,FALSE)+SUMIF('원본_CardLimitBreak'!$B$2:$B$4,"&lt;="&amp;'원본_RankAiEncounter'!P63,'원본_CardLimitBreak'!$C$2:$C$4)</x:f>
        <x:v>19</x:v>
      </x:c>
      <x:c r="Q68" s="8" t="n">
        <x:f>SUM(K68:P68)</x:f>
        <x:v>85</x:v>
      </x:c>
      <x:c r="R68" s="8"/>
    </x:row>
    <x:row r="69" ht="23" customHeight="1">
      <x:c r="A69" s="8" t="n">
        <x:f>'원본_RankAiEncounter'!B64</x:f>
        <x:v>11</x:v>
      </x:c>
      <x:c r="B69" s="8" t="str">
        <x:f>'원본_RankAiEncounter'!C64</x:f>
        <x:v>Normal</x:v>
      </x:c>
      <x:c r="C69" s="8" t="str">
        <x:f>'원본_RankAiEncounter'!D64</x:f>
        <x:v>deck_04</x:v>
      </x:c>
      <x:c r="D69" s="8" t="n">
        <x:f>MAX(1,VLOOKUP(C69,'원본_AIDeck'!$B$2:$N$47,5,FALSE))</x:f>
        <x:v>1</x:v>
      </x:c>
      <x:c r="E69" s="8" t="n">
        <x:f>VLOOKUP(C69,'원본_AIDeck'!$B$2:$N$47,8,FALSE)</x:f>
        <x:v>4</x:v>
      </x:c>
      <x:c r="F69" s="8" t="n">
        <x:f>VLOOKUP(C69,'원본_AIDeck'!$B$2:$N$47,9,FALSE)</x:f>
        <x:v>2</x:v>
      </x:c>
      <x:c r="G69" s="8" t="n">
        <x:f>VLOOKUP(C69,'원본_AIDeck'!$B$2:$N$47,10,FALSE)</x:f>
        <x:v>32</x:v>
      </x:c>
      <x:c r="H69" s="8" t="n">
        <x:f>VLOOKUP(C69,'원본_AIDeck'!$B$2:$N$47,11,FALSE)</x:f>
        <x:v>27</x:v>
      </x:c>
      <x:c r="I69" s="8" t="n">
        <x:f>VLOOKUP(C69,'원본_AIDeck'!$B$2:$N$47,12,FALSE)</x:f>
        <x:v>6</x:v>
      </x:c>
      <x:c r="J69" s="8" t="n">
        <x:f>VLOOKUP(C69,'원본_AIDeck'!$B$2:$N$47,13,FALSE)</x:f>
        <x:v>38</x:v>
      </x:c>
      <x:c r="K69" s="8" t="n">
        <x:f>VLOOKUP(E69,'카드성장'!$A$7:$G$46,'원본_RankAiEncounter'!E64+2,FALSE)+SUMIF('원본_CardLimitBreak'!$B$2:$B$4,"&lt;="&amp;'원본_RankAiEncounter'!K64,'원본_CardLimitBreak'!$C$2:$C$4)</x:f>
        <x:v>18</x:v>
      </x:c>
      <x:c r="L69" s="8" t="n">
        <x:f>VLOOKUP(F69,'카드성장'!$A$7:$G$46,'원본_RankAiEncounter'!F64+2,FALSE)+SUMIF('원본_CardLimitBreak'!$B$2:$B$4,"&lt;="&amp;'원본_RankAiEncounter'!L64,'원본_CardLimitBreak'!$C$2:$C$4)</x:f>
        <x:v>14</x:v>
      </x:c>
      <x:c r="M69" s="8" t="n">
        <x:f>VLOOKUP(G69,'카드성장'!$A$7:$G$46,'원본_RankAiEncounter'!G64+2,FALSE)+SUMIF('원본_CardLimitBreak'!$B$2:$B$4,"&lt;="&amp;'원본_RankAiEncounter'!M64,'원본_CardLimitBreak'!$C$2:$C$4)</x:f>
        <x:v>17</x:v>
      </x:c>
      <x:c r="N69" s="8" t="n">
        <x:f>VLOOKUP(H69,'카드성장'!$A$7:$G$46,'원본_RankAiEncounter'!H64+2,FALSE)+SUMIF('원본_CardLimitBreak'!$B$2:$B$4,"&lt;="&amp;'원본_RankAiEncounter'!N64,'원본_CardLimitBreak'!$C$2:$C$4)</x:f>
        <x:v>7</x:v>
      </x:c>
      <x:c r="O69" s="8" t="n">
        <x:f>VLOOKUP(I69,'카드성장'!$A$7:$G$46,'원본_RankAiEncounter'!I64+2,FALSE)+SUMIF('원본_CardLimitBreak'!$B$2:$B$4,"&lt;="&amp;'원본_RankAiEncounter'!O64,'원본_CardLimitBreak'!$C$2:$C$4)</x:f>
        <x:v>10</x:v>
      </x:c>
      <x:c r="P69" s="8" t="n">
        <x:f>VLOOKUP(J69,'카드성장'!$A$7:$G$46,'원본_RankAiEncounter'!J64+2,FALSE)+SUMIF('원본_CardLimitBreak'!$B$2:$B$4,"&lt;="&amp;'원본_RankAiEncounter'!P64,'원본_CardLimitBreak'!$C$2:$C$4)</x:f>
        <x:v>19</x:v>
      </x:c>
      <x:c r="Q69" s="8" t="n">
        <x:f>SUM(K69:P69)</x:f>
        <x:v>85</x:v>
      </x:c>
      <x:c r="R69" s="8"/>
    </x:row>
    <x:row r="70" ht="23" customHeight="1">
      <x:c r="A70" s="8" t="n">
        <x:f>'원본_RankAiEncounter'!B65</x:f>
        <x:v>11</x:v>
      </x:c>
      <x:c r="B70" s="8" t="str">
        <x:f>'원본_RankAiEncounter'!C65</x:f>
        <x:v>Normal</x:v>
      </x:c>
      <x:c r="C70" s="8" t="str">
        <x:f>'원본_RankAiEncounter'!D65</x:f>
        <x:v>deck_05</x:v>
      </x:c>
      <x:c r="D70" s="8" t="n">
        <x:f>MAX(1,VLOOKUP(C70,'원본_AIDeck'!$B$2:$N$47,5,FALSE))</x:f>
        <x:v>1</x:v>
      </x:c>
      <x:c r="E70" s="8" t="n">
        <x:f>VLOOKUP(C70,'원본_AIDeck'!$B$2:$N$47,8,FALSE)</x:f>
        <x:v>15</x:v>
      </x:c>
      <x:c r="F70" s="8" t="n">
        <x:f>VLOOKUP(C70,'원본_AIDeck'!$B$2:$N$47,9,FALSE)</x:f>
        <x:v>16</x:v>
      </x:c>
      <x:c r="G70" s="8" t="n">
        <x:f>VLOOKUP(C70,'원본_AIDeck'!$B$2:$N$47,10,FALSE)</x:f>
        <x:v>25</x:v>
      </x:c>
      <x:c r="H70" s="8" t="n">
        <x:f>VLOOKUP(C70,'원본_AIDeck'!$B$2:$N$47,11,FALSE)</x:f>
        <x:v>20</x:v>
      </x:c>
      <x:c r="I70" s="8" t="n">
        <x:f>VLOOKUP(C70,'원본_AIDeck'!$B$2:$N$47,12,FALSE)</x:f>
        <x:v>29</x:v>
      </x:c>
      <x:c r="J70" s="8" t="n">
        <x:f>VLOOKUP(C70,'원본_AIDeck'!$B$2:$N$47,13,FALSE)</x:f>
        <x:v>37</x:v>
      </x:c>
      <x:c r="K70" s="8" t="n">
        <x:f>VLOOKUP(E70,'카드성장'!$A$7:$G$46,'원본_RankAiEncounter'!E65+2,FALSE)+SUMIF('원본_CardLimitBreak'!$B$2:$B$4,"&lt;="&amp;'원본_RankAiEncounter'!K65,'원본_CardLimitBreak'!$C$2:$C$4)</x:f>
        <x:v>15</x:v>
      </x:c>
      <x:c r="L70" s="8" t="n">
        <x:f>VLOOKUP(F70,'카드성장'!$A$7:$G$46,'원본_RankAiEncounter'!F65+2,FALSE)+SUMIF('원본_CardLimitBreak'!$B$2:$B$4,"&lt;="&amp;'원본_RankAiEncounter'!L65,'원본_CardLimitBreak'!$C$2:$C$4)</x:f>
        <x:v>14</x:v>
      </x:c>
      <x:c r="M70" s="8" t="n">
        <x:f>VLOOKUP(G70,'카드성장'!$A$7:$G$46,'원본_RankAiEncounter'!G65+2,FALSE)+SUMIF('원본_CardLimitBreak'!$B$2:$B$4,"&lt;="&amp;'원본_RankAiEncounter'!M65,'원본_CardLimitBreak'!$C$2:$C$4)</x:f>
        <x:v>18</x:v>
      </x:c>
      <x:c r="N70" s="8" t="n">
        <x:f>VLOOKUP(H70,'카드성장'!$A$7:$G$46,'원본_RankAiEncounter'!H65+2,FALSE)+SUMIF('원본_CardLimitBreak'!$B$2:$B$4,"&lt;="&amp;'원본_RankAiEncounter'!N65,'원본_CardLimitBreak'!$C$2:$C$4)</x:f>
        <x:v>8</x:v>
      </x:c>
      <x:c r="O70" s="8" t="n">
        <x:f>VLOOKUP(I70,'카드성장'!$A$7:$G$46,'원본_RankAiEncounter'!I65+2,FALSE)+SUMIF('원본_CardLimitBreak'!$B$2:$B$4,"&lt;="&amp;'원본_RankAiEncounter'!O65,'원본_CardLimitBreak'!$C$2:$C$4)</x:f>
        <x:v>16</x:v>
      </x:c>
      <x:c r="P70" s="8" t="n">
        <x:f>VLOOKUP(J70,'카드성장'!$A$7:$G$46,'원본_RankAiEncounter'!J65+2,FALSE)+SUMIF('원본_CardLimitBreak'!$B$2:$B$4,"&lt;="&amp;'원본_RankAiEncounter'!P65,'원본_CardLimitBreak'!$C$2:$C$4)</x:f>
        <x:v>8</x:v>
      </x:c>
      <x:c r="Q70" s="8" t="n">
        <x:f>SUM(K70:P70)</x:f>
        <x:v>79</x:v>
      </x:c>
      <x:c r="R70" s="8"/>
    </x:row>
    <x:row r="71">
      <x:c r="A71" t="n">
        <x:f>'원본_RankAiEncounter'!B66</x:f>
        <x:v>11</x:v>
      </x:c>
      <x:c r="B71" t="str">
        <x:f>'원본_RankAiEncounter'!C66</x:f>
        <x:v>Normal</x:v>
      </x:c>
      <x:c r="C71" t="str">
        <x:f>'원본_RankAiEncounter'!D66</x:f>
        <x:v>deck_06</x:v>
      </x:c>
      <x:c r="D71" t="n">
        <x:f>MAX(1,VLOOKUP(C71,'원본_AIDeck'!$B$2:$N$47,5,FALSE))</x:f>
        <x:v>1</x:v>
      </x:c>
      <x:c r="E71" t="n">
        <x:f>VLOOKUP(C71,'원본_AIDeck'!$B$2:$N$47,8,FALSE)</x:f>
        <x:v>15</x:v>
      </x:c>
      <x:c r="F71" t="n">
        <x:f>VLOOKUP(C71,'원본_AIDeck'!$B$2:$N$47,9,FALSE)</x:f>
        <x:v>16</x:v>
      </x:c>
      <x:c r="G71" t="n">
        <x:f>VLOOKUP(C71,'원본_AIDeck'!$B$2:$N$47,10,FALSE)</x:f>
        <x:v>25</x:v>
      </x:c>
      <x:c r="H71" t="n">
        <x:f>VLOOKUP(C71,'원본_AIDeck'!$B$2:$N$47,11,FALSE)</x:f>
        <x:v>20</x:v>
      </x:c>
      <x:c r="I71" t="n">
        <x:f>VLOOKUP(C71,'원본_AIDeck'!$B$2:$N$47,12,FALSE)</x:f>
        <x:v>6</x:v>
      </x:c>
      <x:c r="J71" t="n">
        <x:f>VLOOKUP(C71,'원본_AIDeck'!$B$2:$N$47,13,FALSE)</x:f>
        <x:v>38</x:v>
      </x:c>
      <x:c r="K71" t="n">
        <x:f>VLOOKUP(E71,'카드성장'!$A$7:$G$46,'원본_RankAiEncounter'!E66+2,FALSE)+SUMIF('원본_CardLimitBreak'!$B$2:$B$4,"&lt;="&amp;'원본_RankAiEncounter'!K66,'원본_CardLimitBreak'!$C$2:$C$4)</x:f>
        <x:v>15</x:v>
      </x:c>
      <x:c r="L71" t="n">
        <x:f>VLOOKUP(F71,'카드성장'!$A$7:$G$46,'원본_RankAiEncounter'!F66+2,FALSE)+SUMIF('원본_CardLimitBreak'!$B$2:$B$4,"&lt;="&amp;'원본_RankAiEncounter'!L66,'원본_CardLimitBreak'!$C$2:$C$4)</x:f>
        <x:v>14</x:v>
      </x:c>
      <x:c r="M71" t="n">
        <x:f>VLOOKUP(G71,'카드성장'!$A$7:$G$46,'원본_RankAiEncounter'!G66+2,FALSE)+SUMIF('원본_CardLimitBreak'!$B$2:$B$4,"&lt;="&amp;'원본_RankAiEncounter'!M66,'원본_CardLimitBreak'!$C$2:$C$4)</x:f>
        <x:v>18</x:v>
      </x:c>
      <x:c r="N71" t="n">
        <x:f>VLOOKUP(H71,'카드성장'!$A$7:$G$46,'원본_RankAiEncounter'!H66+2,FALSE)+SUMIF('원본_CardLimitBreak'!$B$2:$B$4,"&lt;="&amp;'원본_RankAiEncounter'!N66,'원본_CardLimitBreak'!$C$2:$C$4)</x:f>
        <x:v>8</x:v>
      </x:c>
      <x:c r="O71" t="n">
        <x:f>VLOOKUP(I71,'카드성장'!$A$7:$G$46,'원본_RankAiEncounter'!I66+2,FALSE)+SUMIF('원본_CardLimitBreak'!$B$2:$B$4,"&lt;="&amp;'원본_RankAiEncounter'!O66,'원본_CardLimitBreak'!$C$2:$C$4)</x:f>
        <x:v>10</x:v>
      </x:c>
      <x:c r="P71" t="n">
        <x:f>VLOOKUP(J71,'카드성장'!$A$7:$G$46,'원본_RankAiEncounter'!J66+2,FALSE)+SUMIF('원본_CardLimitBreak'!$B$2:$B$4,"&lt;="&amp;'원본_RankAiEncounter'!P66,'원본_CardLimitBreak'!$C$2:$C$4)</x:f>
        <x:v>18</x:v>
      </x:c>
      <x:c r="Q71" t="n">
        <x:f>SUM(K71:P71)</x:f>
        <x:v>83</x:v>
      </x:c>
    </x:row>
    <x:row r="72">
      <x:c r="A72" t="n">
        <x:f>'원본_RankAiEncounter'!B67</x:f>
        <x:v>11</x:v>
      </x:c>
      <x:c r="B72" t="str">
        <x:f>'원본_RankAiEncounter'!C67</x:f>
        <x:v>Normal</x:v>
      </x:c>
      <x:c r="C72" t="str">
        <x:f>'원본_RankAiEncounter'!D67</x:f>
        <x:v>deck_07</x:v>
      </x:c>
      <x:c r="D72" t="n">
        <x:f>MAX(1,VLOOKUP(C72,'원본_AIDeck'!$B$2:$N$47,5,FALSE))</x:f>
        <x:v>1</x:v>
      </x:c>
      <x:c r="E72" t="n">
        <x:f>VLOOKUP(C72,'원본_AIDeck'!$B$2:$N$47,8,FALSE)</x:f>
        <x:v>8</x:v>
      </x:c>
      <x:c r="F72" t="n">
        <x:f>VLOOKUP(C72,'원본_AIDeck'!$B$2:$N$47,9,FALSE)</x:f>
        <x:v>9</x:v>
      </x:c>
      <x:c r="G72" t="n">
        <x:f>VLOOKUP(C72,'원본_AIDeck'!$B$2:$N$47,10,FALSE)</x:f>
        <x:v>10</x:v>
      </x:c>
      <x:c r="H72" t="n">
        <x:f>VLOOKUP(C72,'원본_AIDeck'!$B$2:$N$47,11,FALSE)</x:f>
        <x:v>20</x:v>
      </x:c>
      <x:c r="I72" t="n">
        <x:f>VLOOKUP(C72,'원본_AIDeck'!$B$2:$N$47,12,FALSE)</x:f>
        <x:v>6</x:v>
      </x:c>
      <x:c r="J72" t="n">
        <x:f>VLOOKUP(C72,'원본_AIDeck'!$B$2:$N$47,13,FALSE)</x:f>
        <x:v>27</x:v>
      </x:c>
      <x:c r="K72" t="n">
        <x:f>VLOOKUP(E72,'카드성장'!$A$7:$G$46,'원본_RankAiEncounter'!E67+2,FALSE)+SUMIF('원본_CardLimitBreak'!$B$2:$B$4,"&lt;="&amp;'원본_RankAiEncounter'!K67,'원본_CardLimitBreak'!$C$2:$C$4)</x:f>
        <x:v>18</x:v>
      </x:c>
      <x:c r="L72" t="n">
        <x:f>VLOOKUP(F72,'카드성장'!$A$7:$G$46,'원본_RankAiEncounter'!F67+2,FALSE)+SUMIF('원본_CardLimitBreak'!$B$2:$B$4,"&lt;="&amp;'원본_RankAiEncounter'!L67,'원본_CardLimitBreak'!$C$2:$C$4)</x:f>
        <x:v>14</x:v>
      </x:c>
      <x:c r="M72" t="n">
        <x:f>VLOOKUP(G72,'카드성장'!$A$7:$G$46,'원본_RankAiEncounter'!G67+2,FALSE)+SUMIF('원본_CardLimitBreak'!$B$2:$B$4,"&lt;="&amp;'원본_RankAiEncounter'!M67,'원본_CardLimitBreak'!$C$2:$C$4)</x:f>
        <x:v>18</x:v>
      </x:c>
      <x:c r="N72" t="n">
        <x:f>VLOOKUP(H72,'카드성장'!$A$7:$G$46,'원본_RankAiEncounter'!H67+2,FALSE)+SUMIF('원본_CardLimitBreak'!$B$2:$B$4,"&lt;="&amp;'원본_RankAiEncounter'!N67,'원본_CardLimitBreak'!$C$2:$C$4)</x:f>
        <x:v>18</x:v>
      </x:c>
      <x:c r="O72" t="n">
        <x:f>VLOOKUP(I72,'카드성장'!$A$7:$G$46,'원본_RankAiEncounter'!I67+2,FALSE)+SUMIF('원본_CardLimitBreak'!$B$2:$B$4,"&lt;="&amp;'원본_RankAiEncounter'!O67,'원본_CardLimitBreak'!$C$2:$C$4)</x:f>
        <x:v>10</x:v>
      </x:c>
      <x:c r="P72" t="n">
        <x:f>VLOOKUP(J72,'카드성장'!$A$7:$G$46,'원본_RankAiEncounter'!J67+2,FALSE)+SUMIF('원본_CardLimitBreak'!$B$2:$B$4,"&lt;="&amp;'원본_RankAiEncounter'!P67,'원본_CardLimitBreak'!$C$2:$C$4)</x:f>
        <x:v>7</x:v>
      </x:c>
      <x:c r="Q72" t="n">
        <x:f>SUM(K72:P72)</x:f>
        <x:v>85</x:v>
      </x:c>
    </x:row>
    <x:row r="73">
      <x:c r="A73" t="n">
        <x:f>'원본_RankAiEncounter'!B68</x:f>
        <x:v>11</x:v>
      </x:c>
      <x:c r="B73" t="str">
        <x:f>'원본_RankAiEncounter'!C68</x:f>
        <x:v>Normal</x:v>
      </x:c>
      <x:c r="C73" t="str">
        <x:f>'원본_RankAiEncounter'!D68</x:f>
        <x:v>deck_08</x:v>
      </x:c>
      <x:c r="D73" t="n">
        <x:f>MAX(1,VLOOKUP(C73,'원본_AIDeck'!$B$2:$N$47,5,FALSE))</x:f>
        <x:v>1</x:v>
      </x:c>
      <x:c r="E73" t="n">
        <x:f>VLOOKUP(C73,'원본_AIDeck'!$B$2:$N$47,8,FALSE)</x:f>
        <x:v>5</x:v>
      </x:c>
      <x:c r="F73" t="n">
        <x:f>VLOOKUP(C73,'원본_AIDeck'!$B$2:$N$47,9,FALSE)</x:f>
        <x:v>6</x:v>
      </x:c>
      <x:c r="G73" t="n">
        <x:f>VLOOKUP(C73,'원본_AIDeck'!$B$2:$N$47,10,FALSE)</x:f>
        <x:v>33</x:v>
      </x:c>
      <x:c r="H73" t="n">
        <x:f>VLOOKUP(C73,'원본_AIDeck'!$B$2:$N$47,11,FALSE)</x:f>
        <x:v>28</x:v>
      </x:c>
      <x:c r="I73" t="n">
        <x:f>VLOOKUP(C73,'원본_AIDeck'!$B$2:$N$47,12,FALSE)</x:f>
        <x:v>12</x:v>
      </x:c>
      <x:c r="J73" t="n">
        <x:f>VLOOKUP(C73,'원본_AIDeck'!$B$2:$N$47,13,FALSE)</x:f>
        <x:v>10</x:v>
      </x:c>
      <x:c r="K73" t="n">
        <x:f>VLOOKUP(E73,'카드성장'!$A$7:$G$46,'원본_RankAiEncounter'!E68+2,FALSE)+SUMIF('원본_CardLimitBreak'!$B$2:$B$4,"&lt;="&amp;'원본_RankAiEncounter'!K68,'원본_CardLimitBreak'!$C$2:$C$4)</x:f>
        <x:v>20</x:v>
      </x:c>
      <x:c r="L73" t="n">
        <x:f>VLOOKUP(F73,'카드성장'!$A$7:$G$46,'원본_RankAiEncounter'!F68+2,FALSE)+SUMIF('원본_CardLimitBreak'!$B$2:$B$4,"&lt;="&amp;'원본_RankAiEncounter'!L68,'원본_CardLimitBreak'!$C$2:$C$4)</x:f>
        <x:v>10</x:v>
      </x:c>
      <x:c r="M73" t="n">
        <x:f>VLOOKUP(G73,'카드성장'!$A$7:$G$46,'원본_RankAiEncounter'!G68+2,FALSE)+SUMIF('원본_CardLimitBreak'!$B$2:$B$4,"&lt;="&amp;'원본_RankAiEncounter'!M68,'원본_CardLimitBreak'!$C$2:$C$4)</x:f>
        <x:v>7</x:v>
      </x:c>
      <x:c r="N73" t="n">
        <x:f>VLOOKUP(H73,'카드성장'!$A$7:$G$46,'원본_RankAiEncounter'!H68+2,FALSE)+SUMIF('원본_CardLimitBreak'!$B$2:$B$4,"&lt;="&amp;'원본_RankAiEncounter'!N68,'원본_CardLimitBreak'!$C$2:$C$4)</x:f>
        <x:v>20</x:v>
      </x:c>
      <x:c r="O73" t="n">
        <x:f>VLOOKUP(I73,'카드성장'!$A$7:$G$46,'원본_RankAiEncounter'!I68+2,FALSE)+SUMIF('원본_CardLimitBreak'!$B$2:$B$4,"&lt;="&amp;'원본_RankAiEncounter'!O68,'원본_CardLimitBreak'!$C$2:$C$4)</x:f>
        <x:v>19</x:v>
      </x:c>
      <x:c r="P73" t="n">
        <x:f>VLOOKUP(J73,'카드성장'!$A$7:$G$46,'원본_RankAiEncounter'!J68+2,FALSE)+SUMIF('원본_CardLimitBreak'!$B$2:$B$4,"&lt;="&amp;'원본_RankAiEncounter'!P68,'원본_CardLimitBreak'!$C$2:$C$4)</x:f>
        <x:v>17</x:v>
      </x:c>
      <x:c r="Q73" t="n">
        <x:f>SUM(K73:P73)</x:f>
        <x:v>93</x:v>
      </x:c>
    </x:row>
    <x:row r="74">
      <x:c r="A74" t="n">
        <x:f>'원본_RankAiEncounter'!B69</x:f>
        <x:v>12</x:v>
      </x:c>
      <x:c r="B74" t="str">
        <x:f>'원본_RankAiEncounter'!C69</x:f>
        <x:v>Normal</x:v>
      </x:c>
      <x:c r="C74" t="str">
        <x:f>'원본_RankAiEncounter'!D69</x:f>
        <x:v>deck_01</x:v>
      </x:c>
      <x:c r="D74" t="n">
        <x:f>MAX(1,VLOOKUP(C74,'원본_AIDeck'!$B$2:$N$47,5,FALSE))</x:f>
        <x:v>1</x:v>
      </x:c>
      <x:c r="E74" t="n">
        <x:f>VLOOKUP(C74,'원본_AIDeck'!$B$2:$N$47,8,FALSE)</x:f>
        <x:v>20</x:v>
      </x:c>
      <x:c r="F74" t="n">
        <x:f>VLOOKUP(C74,'원본_AIDeck'!$B$2:$N$47,9,FALSE)</x:f>
        <x:v>18</x:v>
      </x:c>
      <x:c r="G74" t="n">
        <x:f>VLOOKUP(C74,'원본_AIDeck'!$B$2:$N$47,10,FALSE)</x:f>
        <x:v>19</x:v>
      </x:c>
      <x:c r="H74" t="n">
        <x:f>VLOOKUP(C74,'원본_AIDeck'!$B$2:$N$47,11,FALSE)</x:f>
        <x:v>6</x:v>
      </x:c>
      <x:c r="I74" t="n">
        <x:f>VLOOKUP(C74,'원본_AIDeck'!$B$2:$N$47,12,FALSE)</x:f>
        <x:v>13</x:v>
      </x:c>
      <x:c r="J74" t="n">
        <x:f>VLOOKUP(C74,'원본_AIDeck'!$B$2:$N$47,13,FALSE)</x:f>
        <x:v>14</x:v>
      </x:c>
      <x:c r="K74" t="n">
        <x:f>VLOOKUP(E74,'카드성장'!$A$7:$G$46,'원본_RankAiEncounter'!E69+2,FALSE)+SUMIF('원본_CardLimitBreak'!$B$2:$B$4,"&lt;="&amp;'원본_RankAiEncounter'!K69,'원본_CardLimitBreak'!$C$2:$C$4)</x:f>
        <x:v>18</x:v>
      </x:c>
      <x:c r="L74" t="n">
        <x:f>VLOOKUP(F74,'카드성장'!$A$7:$G$46,'원본_RankAiEncounter'!F69+2,FALSE)+SUMIF('원본_CardLimitBreak'!$B$2:$B$4,"&lt;="&amp;'원본_RankAiEncounter'!L69,'원본_CardLimitBreak'!$C$2:$C$4)</x:f>
        <x:v>14</x:v>
      </x:c>
      <x:c r="M74" t="n">
        <x:f>VLOOKUP(G74,'카드성장'!$A$7:$G$46,'원본_RankAiEncounter'!G69+2,FALSE)+SUMIF('원본_CardLimitBreak'!$B$2:$B$4,"&lt;="&amp;'원본_RankAiEncounter'!M69,'원본_CardLimitBreak'!$C$2:$C$4)</x:f>
        <x:v>17</x:v>
      </x:c>
      <x:c r="N74" t="n">
        <x:f>VLOOKUP(H74,'카드성장'!$A$7:$G$46,'원본_RankAiEncounter'!H69+2,FALSE)+SUMIF('원본_CardLimitBreak'!$B$2:$B$4,"&lt;="&amp;'원본_RankAiEncounter'!N69,'원본_CardLimitBreak'!$C$2:$C$4)</x:f>
        <x:v>10</x:v>
      </x:c>
      <x:c r="O74" t="n">
        <x:f>VLOOKUP(I74,'카드성장'!$A$7:$G$46,'원본_RankAiEncounter'!I69+2,FALSE)+SUMIF('원본_CardLimitBreak'!$B$2:$B$4,"&lt;="&amp;'원본_RankAiEncounter'!O69,'원본_CardLimitBreak'!$C$2:$C$4)</x:f>
        <x:v>9</x:v>
      </x:c>
      <x:c r="P74" t="n">
        <x:f>VLOOKUP(J74,'카드성장'!$A$7:$G$46,'원본_RankAiEncounter'!J69+2,FALSE)+SUMIF('원본_CardLimitBreak'!$B$2:$B$4,"&lt;="&amp;'원본_RankAiEncounter'!P69,'원본_CardLimitBreak'!$C$2:$C$4)</x:f>
        <x:v>17</x:v>
      </x:c>
      <x:c r="Q74" t="n">
        <x:f>SUM(K74:P74)</x:f>
        <x:v>85</x:v>
      </x:c>
    </x:row>
    <x:row r="75">
      <x:c r="A75" t="n">
        <x:f>'원본_RankAiEncounter'!B70</x:f>
        <x:v>12</x:v>
      </x:c>
      <x:c r="B75" t="str">
        <x:f>'원본_RankAiEncounter'!C70</x:f>
        <x:v>Normal</x:v>
      </x:c>
      <x:c r="C75" t="str">
        <x:f>'원본_RankAiEncounter'!D70</x:f>
        <x:v>deck_02</x:v>
      </x:c>
      <x:c r="D75" t="n">
        <x:f>MAX(1,VLOOKUP(C75,'원본_AIDeck'!$B$2:$N$47,5,FALSE))</x:f>
        <x:v>1</x:v>
      </x:c>
      <x:c r="E75" t="n">
        <x:f>VLOOKUP(C75,'원본_AIDeck'!$B$2:$N$47,8,FALSE)</x:f>
        <x:v>20</x:v>
      </x:c>
      <x:c r="F75" t="n">
        <x:f>VLOOKUP(C75,'원본_AIDeck'!$B$2:$N$47,9,FALSE)</x:f>
        <x:v>18</x:v>
      </x:c>
      <x:c r="G75" t="n">
        <x:f>VLOOKUP(C75,'원본_AIDeck'!$B$2:$N$47,10,FALSE)</x:f>
        <x:v>19</x:v>
      </x:c>
      <x:c r="H75" t="n">
        <x:f>VLOOKUP(C75,'원본_AIDeck'!$B$2:$N$47,11,FALSE)</x:f>
        <x:v>4</x:v>
      </x:c>
      <x:c r="I75" t="n">
        <x:f>VLOOKUP(C75,'원본_AIDeck'!$B$2:$N$47,12,FALSE)</x:f>
        <x:v>37</x:v>
      </x:c>
      <x:c r="J75" t="n">
        <x:f>VLOOKUP(C75,'원본_AIDeck'!$B$2:$N$47,13,FALSE)</x:f>
        <x:v>31</x:v>
      </x:c>
      <x:c r="K75" t="n">
        <x:f>VLOOKUP(E75,'카드성장'!$A$7:$G$46,'원본_RankAiEncounter'!E70+2,FALSE)+SUMIF('원본_CardLimitBreak'!$B$2:$B$4,"&lt;="&amp;'원본_RankAiEncounter'!K70,'원본_CardLimitBreak'!$C$2:$C$4)</x:f>
        <x:v>18</x:v>
      </x:c>
      <x:c r="L75" t="n">
        <x:f>VLOOKUP(F75,'카드성장'!$A$7:$G$46,'원본_RankAiEncounter'!F70+2,FALSE)+SUMIF('원본_CardLimitBreak'!$B$2:$B$4,"&lt;="&amp;'원본_RankAiEncounter'!L70,'원본_CardLimitBreak'!$C$2:$C$4)</x:f>
        <x:v>14</x:v>
      </x:c>
      <x:c r="M75" t="n">
        <x:f>VLOOKUP(G75,'카드성장'!$A$7:$G$46,'원본_RankAiEncounter'!G70+2,FALSE)+SUMIF('원본_CardLimitBreak'!$B$2:$B$4,"&lt;="&amp;'원본_RankAiEncounter'!M70,'원본_CardLimitBreak'!$C$2:$C$4)</x:f>
        <x:v>17</x:v>
      </x:c>
      <x:c r="N75" t="n">
        <x:f>VLOOKUP(H75,'카드성장'!$A$7:$G$46,'원본_RankAiEncounter'!H70+2,FALSE)+SUMIF('원본_CardLimitBreak'!$B$2:$B$4,"&lt;="&amp;'원본_RankAiEncounter'!N70,'원본_CardLimitBreak'!$C$2:$C$4)</x:f>
        <x:v>9</x:v>
      </x:c>
      <x:c r="O75" t="n">
        <x:f>VLOOKUP(I75,'카드성장'!$A$7:$G$46,'원본_RankAiEncounter'!I70+2,FALSE)+SUMIF('원본_CardLimitBreak'!$B$2:$B$4,"&lt;="&amp;'원본_RankAiEncounter'!O70,'원본_CardLimitBreak'!$C$2:$C$4)</x:f>
        <x:v>17</x:v>
      </x:c>
      <x:c r="P75" t="n">
        <x:f>VLOOKUP(J75,'카드성장'!$A$7:$G$46,'원본_RankAiEncounter'!J70+2,FALSE)+SUMIF('원본_CardLimitBreak'!$B$2:$B$4,"&lt;="&amp;'원본_RankAiEncounter'!P70,'원본_CardLimitBreak'!$C$2:$C$4)</x:f>
        <x:v>9</x:v>
      </x:c>
      <x:c r="Q75" t="n">
        <x:f>SUM(K75:P75)</x:f>
        <x:v>84</x:v>
      </x:c>
    </x:row>
    <x:row r="76">
      <x:c r="A76" t="n">
        <x:f>'원본_RankAiEncounter'!B71</x:f>
        <x:v>12</x:v>
      </x:c>
      <x:c r="B76" t="str">
        <x:f>'원본_RankAiEncounter'!C71</x:f>
        <x:v>Normal</x:v>
      </x:c>
      <x:c r="C76" t="str">
        <x:f>'원본_RankAiEncounter'!D71</x:f>
        <x:v>deck_03</x:v>
      </x:c>
      <x:c r="D76" t="n">
        <x:f>MAX(1,VLOOKUP(C76,'원본_AIDeck'!$B$2:$N$47,5,FALSE))</x:f>
        <x:v>1</x:v>
      </x:c>
      <x:c r="E76" t="n">
        <x:f>VLOOKUP(C76,'원본_AIDeck'!$B$2:$N$47,8,FALSE)</x:f>
        <x:v>4</x:v>
      </x:c>
      <x:c r="F76" t="n">
        <x:f>VLOOKUP(C76,'원본_AIDeck'!$B$2:$N$47,9,FALSE)</x:f>
        <x:v>2</x:v>
      </x:c>
      <x:c r="G76" t="n">
        <x:f>VLOOKUP(C76,'원본_AIDeck'!$B$2:$N$47,10,FALSE)</x:f>
        <x:v>1</x:v>
      </x:c>
      <x:c r="H76" t="n">
        <x:f>VLOOKUP(C76,'원본_AIDeck'!$B$2:$N$47,11,FALSE)</x:f>
        <x:v>6</x:v>
      </x:c>
      <x:c r="I76" t="n">
        <x:f>VLOOKUP(C76,'원본_AIDeck'!$B$2:$N$47,12,FALSE)</x:f>
        <x:v>28</x:v>
      </x:c>
      <x:c r="J76" t="n">
        <x:f>VLOOKUP(C76,'원본_AIDeck'!$B$2:$N$47,13,FALSE)</x:f>
        <x:v>12</x:v>
      </x:c>
      <x:c r="K76" t="n">
        <x:f>VLOOKUP(E76,'카드성장'!$A$7:$G$46,'원본_RankAiEncounter'!E71+2,FALSE)+SUMIF('원본_CardLimitBreak'!$B$2:$B$4,"&lt;="&amp;'원본_RankAiEncounter'!K71,'원본_CardLimitBreak'!$C$2:$C$4)</x:f>
        <x:v>18</x:v>
      </x:c>
      <x:c r="L76" t="n">
        <x:f>VLOOKUP(F76,'카드성장'!$A$7:$G$46,'원본_RankAiEncounter'!F71+2,FALSE)+SUMIF('원본_CardLimitBreak'!$B$2:$B$4,"&lt;="&amp;'원본_RankAiEncounter'!L71,'원본_CardLimitBreak'!$C$2:$C$4)</x:f>
        <x:v>14</x:v>
      </x:c>
      <x:c r="M76" t="n">
        <x:f>VLOOKUP(G76,'카드성장'!$A$7:$G$46,'원본_RankAiEncounter'!G71+2,FALSE)+SUMIF('원본_CardLimitBreak'!$B$2:$B$4,"&lt;="&amp;'원본_RankAiEncounter'!M71,'원본_CardLimitBreak'!$C$2:$C$4)</x:f>
        <x:v>14</x:v>
      </x:c>
      <x:c r="N76" t="n">
        <x:f>VLOOKUP(H76,'카드성장'!$A$7:$G$46,'원본_RankAiEncounter'!H71+2,FALSE)+SUMIF('원본_CardLimitBreak'!$B$2:$B$4,"&lt;="&amp;'원본_RankAiEncounter'!N71,'원본_CardLimitBreak'!$C$2:$C$4)</x:f>
        <x:v>10</x:v>
      </x:c>
      <x:c r="O76" t="n">
        <x:f>VLOOKUP(I76,'카드성장'!$A$7:$G$46,'원본_RankAiEncounter'!I71+2,FALSE)+SUMIF('원본_CardLimitBreak'!$B$2:$B$4,"&lt;="&amp;'원본_RankAiEncounter'!O71,'원본_CardLimitBreak'!$C$2:$C$4)</x:f>
        <x:v>10</x:v>
      </x:c>
      <x:c r="P76" t="n">
        <x:f>VLOOKUP(J76,'카드성장'!$A$7:$G$46,'원본_RankAiEncounter'!J71+2,FALSE)+SUMIF('원본_CardLimitBreak'!$B$2:$B$4,"&lt;="&amp;'원본_RankAiEncounter'!P71,'원본_CardLimitBreak'!$C$2:$C$4)</x:f>
        <x:v>19</x:v>
      </x:c>
      <x:c r="Q76" t="n">
        <x:f>SUM(K76:P76)</x:f>
        <x:v>85</x:v>
      </x:c>
    </x:row>
    <x:row r="77">
      <x:c r="A77" t="n">
        <x:f>'원본_RankAiEncounter'!B72</x:f>
        <x:v>12</x:v>
      </x:c>
      <x:c r="B77" t="str">
        <x:f>'원본_RankAiEncounter'!C72</x:f>
        <x:v>Normal</x:v>
      </x:c>
      <x:c r="C77" t="str">
        <x:f>'원본_RankAiEncounter'!D72</x:f>
        <x:v>deck_04</x:v>
      </x:c>
      <x:c r="D77" t="n">
        <x:f>MAX(1,VLOOKUP(C77,'원본_AIDeck'!$B$2:$N$47,5,FALSE))</x:f>
        <x:v>1</x:v>
      </x:c>
      <x:c r="E77" t="n">
        <x:f>VLOOKUP(C77,'원본_AIDeck'!$B$2:$N$47,8,FALSE)</x:f>
        <x:v>4</x:v>
      </x:c>
      <x:c r="F77" t="n">
        <x:f>VLOOKUP(C77,'원본_AIDeck'!$B$2:$N$47,9,FALSE)</x:f>
        <x:v>2</x:v>
      </x:c>
      <x:c r="G77" t="n">
        <x:f>VLOOKUP(C77,'원본_AIDeck'!$B$2:$N$47,10,FALSE)</x:f>
        <x:v>32</x:v>
      </x:c>
      <x:c r="H77" t="n">
        <x:f>VLOOKUP(C77,'원본_AIDeck'!$B$2:$N$47,11,FALSE)</x:f>
        <x:v>27</x:v>
      </x:c>
      <x:c r="I77" t="n">
        <x:f>VLOOKUP(C77,'원본_AIDeck'!$B$2:$N$47,12,FALSE)</x:f>
        <x:v>6</x:v>
      </x:c>
      <x:c r="J77" t="n">
        <x:f>VLOOKUP(C77,'원본_AIDeck'!$B$2:$N$47,13,FALSE)</x:f>
        <x:v>38</x:v>
      </x:c>
      <x:c r="K77" t="n">
        <x:f>VLOOKUP(E77,'카드성장'!$A$7:$G$46,'원본_RankAiEncounter'!E72+2,FALSE)+SUMIF('원본_CardLimitBreak'!$B$2:$B$4,"&lt;="&amp;'원본_RankAiEncounter'!K72,'원본_CardLimitBreak'!$C$2:$C$4)</x:f>
        <x:v>18</x:v>
      </x:c>
      <x:c r="L77" t="n">
        <x:f>VLOOKUP(F77,'카드성장'!$A$7:$G$46,'원본_RankAiEncounter'!F72+2,FALSE)+SUMIF('원본_CardLimitBreak'!$B$2:$B$4,"&lt;="&amp;'원본_RankAiEncounter'!L72,'원본_CardLimitBreak'!$C$2:$C$4)</x:f>
        <x:v>14</x:v>
      </x:c>
      <x:c r="M77" t="n">
        <x:f>VLOOKUP(G77,'카드성장'!$A$7:$G$46,'원본_RankAiEncounter'!G72+2,FALSE)+SUMIF('원본_CardLimitBreak'!$B$2:$B$4,"&lt;="&amp;'원본_RankAiEncounter'!M72,'원본_CardLimitBreak'!$C$2:$C$4)</x:f>
        <x:v>17</x:v>
      </x:c>
      <x:c r="N77" t="n">
        <x:f>VLOOKUP(H77,'카드성장'!$A$7:$G$46,'원본_RankAiEncounter'!H72+2,FALSE)+SUMIF('원본_CardLimitBreak'!$B$2:$B$4,"&lt;="&amp;'원본_RankAiEncounter'!N72,'원본_CardLimitBreak'!$C$2:$C$4)</x:f>
        <x:v>7</x:v>
      </x:c>
      <x:c r="O77" t="n">
        <x:f>VLOOKUP(I77,'카드성장'!$A$7:$G$46,'원본_RankAiEncounter'!I72+2,FALSE)+SUMIF('원본_CardLimitBreak'!$B$2:$B$4,"&lt;="&amp;'원본_RankAiEncounter'!O72,'원본_CardLimitBreak'!$C$2:$C$4)</x:f>
        <x:v>10</x:v>
      </x:c>
      <x:c r="P77" t="n">
        <x:f>VLOOKUP(J77,'카드성장'!$A$7:$G$46,'원본_RankAiEncounter'!J72+2,FALSE)+SUMIF('원본_CardLimitBreak'!$B$2:$B$4,"&lt;="&amp;'원본_RankAiEncounter'!P72,'원본_CardLimitBreak'!$C$2:$C$4)</x:f>
        <x:v>19</x:v>
      </x:c>
      <x:c r="Q77" t="n">
        <x:f>SUM(K77:P77)</x:f>
        <x:v>85</x:v>
      </x:c>
    </x:row>
    <x:row r="78">
      <x:c r="A78" t="n">
        <x:f>'원본_RankAiEncounter'!B73</x:f>
        <x:v>12</x:v>
      </x:c>
      <x:c r="B78" t="str">
        <x:f>'원본_RankAiEncounter'!C73</x:f>
        <x:v>Normal</x:v>
      </x:c>
      <x:c r="C78" t="str">
        <x:f>'원본_RankAiEncounter'!D73</x:f>
        <x:v>deck_05</x:v>
      </x:c>
      <x:c r="D78" t="n">
        <x:f>MAX(1,VLOOKUP(C78,'원본_AIDeck'!$B$2:$N$47,5,FALSE))</x:f>
        <x:v>1</x:v>
      </x:c>
      <x:c r="E78" t="n">
        <x:f>VLOOKUP(C78,'원본_AIDeck'!$B$2:$N$47,8,FALSE)</x:f>
        <x:v>15</x:v>
      </x:c>
      <x:c r="F78" t="n">
        <x:f>VLOOKUP(C78,'원본_AIDeck'!$B$2:$N$47,9,FALSE)</x:f>
        <x:v>16</x:v>
      </x:c>
      <x:c r="G78" t="n">
        <x:f>VLOOKUP(C78,'원본_AIDeck'!$B$2:$N$47,10,FALSE)</x:f>
        <x:v>25</x:v>
      </x:c>
      <x:c r="H78" t="n">
        <x:f>VLOOKUP(C78,'원본_AIDeck'!$B$2:$N$47,11,FALSE)</x:f>
        <x:v>20</x:v>
      </x:c>
      <x:c r="I78" t="n">
        <x:f>VLOOKUP(C78,'원본_AIDeck'!$B$2:$N$47,12,FALSE)</x:f>
        <x:v>29</x:v>
      </x:c>
      <x:c r="J78" t="n">
        <x:f>VLOOKUP(C78,'원본_AIDeck'!$B$2:$N$47,13,FALSE)</x:f>
        <x:v>37</x:v>
      </x:c>
      <x:c r="K78" t="n">
        <x:f>VLOOKUP(E78,'카드성장'!$A$7:$G$46,'원본_RankAiEncounter'!E73+2,FALSE)+SUMIF('원본_CardLimitBreak'!$B$2:$B$4,"&lt;="&amp;'원본_RankAiEncounter'!K73,'원본_CardLimitBreak'!$C$2:$C$4)</x:f>
        <x:v>15</x:v>
      </x:c>
      <x:c r="L78" t="n">
        <x:f>VLOOKUP(F78,'카드성장'!$A$7:$G$46,'원본_RankAiEncounter'!F73+2,FALSE)+SUMIF('원본_CardLimitBreak'!$B$2:$B$4,"&lt;="&amp;'원본_RankAiEncounter'!L73,'원본_CardLimitBreak'!$C$2:$C$4)</x:f>
        <x:v>14</x:v>
      </x:c>
      <x:c r="M78" t="n">
        <x:f>VLOOKUP(G78,'카드성장'!$A$7:$G$46,'원본_RankAiEncounter'!G73+2,FALSE)+SUMIF('원본_CardLimitBreak'!$B$2:$B$4,"&lt;="&amp;'원본_RankAiEncounter'!M73,'원본_CardLimitBreak'!$C$2:$C$4)</x:f>
        <x:v>18</x:v>
      </x:c>
      <x:c r="N78" t="n">
        <x:f>VLOOKUP(H78,'카드성장'!$A$7:$G$46,'원본_RankAiEncounter'!H73+2,FALSE)+SUMIF('원본_CardLimitBreak'!$B$2:$B$4,"&lt;="&amp;'원본_RankAiEncounter'!N73,'원본_CardLimitBreak'!$C$2:$C$4)</x:f>
        <x:v>8</x:v>
      </x:c>
      <x:c r="O78" t="n">
        <x:f>VLOOKUP(I78,'카드성장'!$A$7:$G$46,'원본_RankAiEncounter'!I73+2,FALSE)+SUMIF('원본_CardLimitBreak'!$B$2:$B$4,"&lt;="&amp;'원본_RankAiEncounter'!O73,'원본_CardLimitBreak'!$C$2:$C$4)</x:f>
        <x:v>16</x:v>
      </x:c>
      <x:c r="P78" t="n">
        <x:f>VLOOKUP(J78,'카드성장'!$A$7:$G$46,'원본_RankAiEncounter'!J73+2,FALSE)+SUMIF('원본_CardLimitBreak'!$B$2:$B$4,"&lt;="&amp;'원본_RankAiEncounter'!P73,'원본_CardLimitBreak'!$C$2:$C$4)</x:f>
        <x:v>8</x:v>
      </x:c>
      <x:c r="Q78" t="n">
        <x:f>SUM(K78:P78)</x:f>
        <x:v>79</x:v>
      </x:c>
    </x:row>
    <x:row r="79">
      <x:c r="A79" t="n">
        <x:f>'원본_RankAiEncounter'!B74</x:f>
        <x:v>12</x:v>
      </x:c>
      <x:c r="B79" t="str">
        <x:f>'원본_RankAiEncounter'!C74</x:f>
        <x:v>Normal</x:v>
      </x:c>
      <x:c r="C79" t="str">
        <x:f>'원본_RankAiEncounter'!D74</x:f>
        <x:v>deck_06</x:v>
      </x:c>
      <x:c r="D79" t="n">
        <x:f>MAX(1,VLOOKUP(C79,'원본_AIDeck'!$B$2:$N$47,5,FALSE))</x:f>
        <x:v>1</x:v>
      </x:c>
      <x:c r="E79" t="n">
        <x:f>VLOOKUP(C79,'원본_AIDeck'!$B$2:$N$47,8,FALSE)</x:f>
        <x:v>15</x:v>
      </x:c>
      <x:c r="F79" t="n">
        <x:f>VLOOKUP(C79,'원본_AIDeck'!$B$2:$N$47,9,FALSE)</x:f>
        <x:v>16</x:v>
      </x:c>
      <x:c r="G79" t="n">
        <x:f>VLOOKUP(C79,'원본_AIDeck'!$B$2:$N$47,10,FALSE)</x:f>
        <x:v>25</x:v>
      </x:c>
      <x:c r="H79" t="n">
        <x:f>VLOOKUP(C79,'원본_AIDeck'!$B$2:$N$47,11,FALSE)</x:f>
        <x:v>20</x:v>
      </x:c>
      <x:c r="I79" t="n">
        <x:f>VLOOKUP(C79,'원본_AIDeck'!$B$2:$N$47,12,FALSE)</x:f>
        <x:v>6</x:v>
      </x:c>
      <x:c r="J79" t="n">
        <x:f>VLOOKUP(C79,'원본_AIDeck'!$B$2:$N$47,13,FALSE)</x:f>
        <x:v>38</x:v>
      </x:c>
      <x:c r="K79" t="n">
        <x:f>VLOOKUP(E79,'카드성장'!$A$7:$G$46,'원본_RankAiEncounter'!E74+2,FALSE)+SUMIF('원본_CardLimitBreak'!$B$2:$B$4,"&lt;="&amp;'원본_RankAiEncounter'!K74,'원본_CardLimitBreak'!$C$2:$C$4)</x:f>
        <x:v>15</x:v>
      </x:c>
      <x:c r="L79" t="n">
        <x:f>VLOOKUP(F79,'카드성장'!$A$7:$G$46,'원본_RankAiEncounter'!F74+2,FALSE)+SUMIF('원본_CardLimitBreak'!$B$2:$B$4,"&lt;="&amp;'원본_RankAiEncounter'!L74,'원본_CardLimitBreak'!$C$2:$C$4)</x:f>
        <x:v>14</x:v>
      </x:c>
      <x:c r="M79" t="n">
        <x:f>VLOOKUP(G79,'카드성장'!$A$7:$G$46,'원본_RankAiEncounter'!G74+2,FALSE)+SUMIF('원본_CardLimitBreak'!$B$2:$B$4,"&lt;="&amp;'원본_RankAiEncounter'!M74,'원본_CardLimitBreak'!$C$2:$C$4)</x:f>
        <x:v>18</x:v>
      </x:c>
      <x:c r="N79" t="n">
        <x:f>VLOOKUP(H79,'카드성장'!$A$7:$G$46,'원본_RankAiEncounter'!H74+2,FALSE)+SUMIF('원본_CardLimitBreak'!$B$2:$B$4,"&lt;="&amp;'원본_RankAiEncounter'!N74,'원본_CardLimitBreak'!$C$2:$C$4)</x:f>
        <x:v>8</x:v>
      </x:c>
      <x:c r="O79" t="n">
        <x:f>VLOOKUP(I79,'카드성장'!$A$7:$G$46,'원본_RankAiEncounter'!I74+2,FALSE)+SUMIF('원본_CardLimitBreak'!$B$2:$B$4,"&lt;="&amp;'원본_RankAiEncounter'!O74,'원본_CardLimitBreak'!$C$2:$C$4)</x:f>
        <x:v>10</x:v>
      </x:c>
      <x:c r="P79" t="n">
        <x:f>VLOOKUP(J79,'카드성장'!$A$7:$G$46,'원본_RankAiEncounter'!J74+2,FALSE)+SUMIF('원본_CardLimitBreak'!$B$2:$B$4,"&lt;="&amp;'원본_RankAiEncounter'!P74,'원본_CardLimitBreak'!$C$2:$C$4)</x:f>
        <x:v>18</x:v>
      </x:c>
      <x:c r="Q79" t="n">
        <x:f>SUM(K79:P79)</x:f>
        <x:v>83</x:v>
      </x:c>
    </x:row>
    <x:row r="80">
      <x:c r="A80" t="n">
        <x:f>'원본_RankAiEncounter'!B75</x:f>
        <x:v>12</x:v>
      </x:c>
      <x:c r="B80" t="str">
        <x:f>'원본_RankAiEncounter'!C75</x:f>
        <x:v>Normal</x:v>
      </x:c>
      <x:c r="C80" t="str">
        <x:f>'원본_RankAiEncounter'!D75</x:f>
        <x:v>deck_07</x:v>
      </x:c>
      <x:c r="D80" t="n">
        <x:f>MAX(1,VLOOKUP(C80,'원본_AIDeck'!$B$2:$N$47,5,FALSE))</x:f>
        <x:v>1</x:v>
      </x:c>
      <x:c r="E80" t="n">
        <x:f>VLOOKUP(C80,'원본_AIDeck'!$B$2:$N$47,8,FALSE)</x:f>
        <x:v>8</x:v>
      </x:c>
      <x:c r="F80" t="n">
        <x:f>VLOOKUP(C80,'원본_AIDeck'!$B$2:$N$47,9,FALSE)</x:f>
        <x:v>9</x:v>
      </x:c>
      <x:c r="G80" t="n">
        <x:f>VLOOKUP(C80,'원본_AIDeck'!$B$2:$N$47,10,FALSE)</x:f>
        <x:v>10</x:v>
      </x:c>
      <x:c r="H80" t="n">
        <x:f>VLOOKUP(C80,'원본_AIDeck'!$B$2:$N$47,11,FALSE)</x:f>
        <x:v>20</x:v>
      </x:c>
      <x:c r="I80" t="n">
        <x:f>VLOOKUP(C80,'원본_AIDeck'!$B$2:$N$47,12,FALSE)</x:f>
        <x:v>6</x:v>
      </x:c>
      <x:c r="J80" t="n">
        <x:f>VLOOKUP(C80,'원본_AIDeck'!$B$2:$N$47,13,FALSE)</x:f>
        <x:v>27</x:v>
      </x:c>
      <x:c r="K80" t="n">
        <x:f>VLOOKUP(E80,'카드성장'!$A$7:$G$46,'원본_RankAiEncounter'!E75+2,FALSE)+SUMIF('원본_CardLimitBreak'!$B$2:$B$4,"&lt;="&amp;'원본_RankAiEncounter'!K75,'원본_CardLimitBreak'!$C$2:$C$4)</x:f>
        <x:v>18</x:v>
      </x:c>
      <x:c r="L80" t="n">
        <x:f>VLOOKUP(F80,'카드성장'!$A$7:$G$46,'원본_RankAiEncounter'!F75+2,FALSE)+SUMIF('원본_CardLimitBreak'!$B$2:$B$4,"&lt;="&amp;'원본_RankAiEncounter'!L75,'원본_CardLimitBreak'!$C$2:$C$4)</x:f>
        <x:v>14</x:v>
      </x:c>
      <x:c r="M80" t="n">
        <x:f>VLOOKUP(G80,'카드성장'!$A$7:$G$46,'원본_RankAiEncounter'!G75+2,FALSE)+SUMIF('원본_CardLimitBreak'!$B$2:$B$4,"&lt;="&amp;'원본_RankAiEncounter'!M75,'원본_CardLimitBreak'!$C$2:$C$4)</x:f>
        <x:v>18</x:v>
      </x:c>
      <x:c r="N80" t="n">
        <x:f>VLOOKUP(H80,'카드성장'!$A$7:$G$46,'원본_RankAiEncounter'!H75+2,FALSE)+SUMIF('원본_CardLimitBreak'!$B$2:$B$4,"&lt;="&amp;'원본_RankAiEncounter'!N75,'원본_CardLimitBreak'!$C$2:$C$4)</x:f>
        <x:v>18</x:v>
      </x:c>
      <x:c r="O80" t="n">
        <x:f>VLOOKUP(I80,'카드성장'!$A$7:$G$46,'원본_RankAiEncounter'!I75+2,FALSE)+SUMIF('원본_CardLimitBreak'!$B$2:$B$4,"&lt;="&amp;'원본_RankAiEncounter'!O75,'원본_CardLimitBreak'!$C$2:$C$4)</x:f>
        <x:v>10</x:v>
      </x:c>
      <x:c r="P80" t="n">
        <x:f>VLOOKUP(J80,'카드성장'!$A$7:$G$46,'원본_RankAiEncounter'!J75+2,FALSE)+SUMIF('원본_CardLimitBreak'!$B$2:$B$4,"&lt;="&amp;'원본_RankAiEncounter'!P75,'원본_CardLimitBreak'!$C$2:$C$4)</x:f>
        <x:v>7</x:v>
      </x:c>
      <x:c r="Q80" t="n">
        <x:f>SUM(K80:P80)</x:f>
        <x:v>85</x:v>
      </x:c>
    </x:row>
    <x:row r="81">
      <x:c r="A81" t="n">
        <x:f>'원본_RankAiEncounter'!B76</x:f>
        <x:v>12</x:v>
      </x:c>
      <x:c r="B81" t="str">
        <x:f>'원본_RankAiEncounter'!C76</x:f>
        <x:v>Normal</x:v>
      </x:c>
      <x:c r="C81" t="str">
        <x:f>'원본_RankAiEncounter'!D76</x:f>
        <x:v>deck_08</x:v>
      </x:c>
      <x:c r="D81" t="n">
        <x:f>MAX(1,VLOOKUP(C81,'원본_AIDeck'!$B$2:$N$47,5,FALSE))</x:f>
        <x:v>1</x:v>
      </x:c>
      <x:c r="E81" t="n">
        <x:f>VLOOKUP(C81,'원본_AIDeck'!$B$2:$N$47,8,FALSE)</x:f>
        <x:v>5</x:v>
      </x:c>
      <x:c r="F81" t="n">
        <x:f>VLOOKUP(C81,'원본_AIDeck'!$B$2:$N$47,9,FALSE)</x:f>
        <x:v>6</x:v>
      </x:c>
      <x:c r="G81" t="n">
        <x:f>VLOOKUP(C81,'원본_AIDeck'!$B$2:$N$47,10,FALSE)</x:f>
        <x:v>33</x:v>
      </x:c>
      <x:c r="H81" t="n">
        <x:f>VLOOKUP(C81,'원본_AIDeck'!$B$2:$N$47,11,FALSE)</x:f>
        <x:v>28</x:v>
      </x:c>
      <x:c r="I81" t="n">
        <x:f>VLOOKUP(C81,'원본_AIDeck'!$B$2:$N$47,12,FALSE)</x:f>
        <x:v>12</x:v>
      </x:c>
      <x:c r="J81" t="n">
        <x:f>VLOOKUP(C81,'원본_AIDeck'!$B$2:$N$47,13,FALSE)</x:f>
        <x:v>10</x:v>
      </x:c>
      <x:c r="K81" t="n">
        <x:f>VLOOKUP(E81,'카드성장'!$A$7:$G$46,'원본_RankAiEncounter'!E76+2,FALSE)+SUMIF('원본_CardLimitBreak'!$B$2:$B$4,"&lt;="&amp;'원본_RankAiEncounter'!K76,'원본_CardLimitBreak'!$C$2:$C$4)</x:f>
        <x:v>20</x:v>
      </x:c>
      <x:c r="L81" t="n">
        <x:f>VLOOKUP(F81,'카드성장'!$A$7:$G$46,'원본_RankAiEncounter'!F76+2,FALSE)+SUMIF('원본_CardLimitBreak'!$B$2:$B$4,"&lt;="&amp;'원본_RankAiEncounter'!L76,'원본_CardLimitBreak'!$C$2:$C$4)</x:f>
        <x:v>10</x:v>
      </x:c>
      <x:c r="M81" t="n">
        <x:f>VLOOKUP(G81,'카드성장'!$A$7:$G$46,'원본_RankAiEncounter'!G76+2,FALSE)+SUMIF('원본_CardLimitBreak'!$B$2:$B$4,"&lt;="&amp;'원본_RankAiEncounter'!M76,'원본_CardLimitBreak'!$C$2:$C$4)</x:f>
        <x:v>7</x:v>
      </x:c>
      <x:c r="N81" t="n">
        <x:f>VLOOKUP(H81,'카드성장'!$A$7:$G$46,'원본_RankAiEncounter'!H76+2,FALSE)+SUMIF('원본_CardLimitBreak'!$B$2:$B$4,"&lt;="&amp;'원본_RankAiEncounter'!N76,'원본_CardLimitBreak'!$C$2:$C$4)</x:f>
        <x:v>20</x:v>
      </x:c>
      <x:c r="O81" t="n">
        <x:f>VLOOKUP(I81,'카드성장'!$A$7:$G$46,'원본_RankAiEncounter'!I76+2,FALSE)+SUMIF('원본_CardLimitBreak'!$B$2:$B$4,"&lt;="&amp;'원본_RankAiEncounter'!O76,'원본_CardLimitBreak'!$C$2:$C$4)</x:f>
        <x:v>19</x:v>
      </x:c>
      <x:c r="P81" t="n">
        <x:f>VLOOKUP(J81,'카드성장'!$A$7:$G$46,'원본_RankAiEncounter'!J76+2,FALSE)+SUMIF('원본_CardLimitBreak'!$B$2:$B$4,"&lt;="&amp;'원본_RankAiEncounter'!P76,'원본_CardLimitBreak'!$C$2:$C$4)</x:f>
        <x:v>17</x:v>
      </x:c>
      <x:c r="Q81" t="n">
        <x:f>SUM(K81:P81)</x:f>
        <x:v>93</x:v>
      </x:c>
    </x:row>
    <x:row r="82">
      <x:c r="A82" t="n">
        <x:f>'원본_RankAiEncounter'!B77</x:f>
        <x:v>13</x:v>
      </x:c>
      <x:c r="B82" t="str">
        <x:f>'원본_RankAiEncounter'!C77</x:f>
        <x:v>Normal</x:v>
      </x:c>
      <x:c r="C82" t="str">
        <x:f>'원본_RankAiEncounter'!D77</x:f>
        <x:v>deck_01</x:v>
      </x:c>
      <x:c r="D82" t="n">
        <x:f>MAX(1,VLOOKUP(C82,'원본_AIDeck'!$B$2:$N$47,5,FALSE))</x:f>
        <x:v>1</x:v>
      </x:c>
      <x:c r="E82" t="n">
        <x:f>VLOOKUP(C82,'원본_AIDeck'!$B$2:$N$47,8,FALSE)</x:f>
        <x:v>20</x:v>
      </x:c>
      <x:c r="F82" t="n">
        <x:f>VLOOKUP(C82,'원본_AIDeck'!$B$2:$N$47,9,FALSE)</x:f>
        <x:v>18</x:v>
      </x:c>
      <x:c r="G82" t="n">
        <x:f>VLOOKUP(C82,'원본_AIDeck'!$B$2:$N$47,10,FALSE)</x:f>
        <x:v>19</x:v>
      </x:c>
      <x:c r="H82" t="n">
        <x:f>VLOOKUP(C82,'원본_AIDeck'!$B$2:$N$47,11,FALSE)</x:f>
        <x:v>6</x:v>
      </x:c>
      <x:c r="I82" t="n">
        <x:f>VLOOKUP(C82,'원본_AIDeck'!$B$2:$N$47,12,FALSE)</x:f>
        <x:v>13</x:v>
      </x:c>
      <x:c r="J82" t="n">
        <x:f>VLOOKUP(C82,'원본_AIDeck'!$B$2:$N$47,13,FALSE)</x:f>
        <x:v>14</x:v>
      </x:c>
      <x:c r="K82" t="n">
        <x:f>VLOOKUP(E82,'카드성장'!$A$7:$G$46,'원본_RankAiEncounter'!E77+2,FALSE)+SUMIF('원본_CardLimitBreak'!$B$2:$B$4,"&lt;="&amp;'원본_RankAiEncounter'!K77,'원본_CardLimitBreak'!$C$2:$C$4)</x:f>
        <x:v>18</x:v>
      </x:c>
      <x:c r="L82" t="n">
        <x:f>VLOOKUP(F82,'카드성장'!$A$7:$G$46,'원본_RankAiEncounter'!F77+2,FALSE)+SUMIF('원본_CardLimitBreak'!$B$2:$B$4,"&lt;="&amp;'원본_RankAiEncounter'!L77,'원본_CardLimitBreak'!$C$2:$C$4)</x:f>
        <x:v>14</x:v>
      </x:c>
      <x:c r="M82" t="n">
        <x:f>VLOOKUP(G82,'카드성장'!$A$7:$G$46,'원본_RankAiEncounter'!G77+2,FALSE)+SUMIF('원본_CardLimitBreak'!$B$2:$B$4,"&lt;="&amp;'원본_RankAiEncounter'!M77,'원본_CardLimitBreak'!$C$2:$C$4)</x:f>
        <x:v>17</x:v>
      </x:c>
      <x:c r="N82" t="n">
        <x:f>VLOOKUP(H82,'카드성장'!$A$7:$G$46,'원본_RankAiEncounter'!H77+2,FALSE)+SUMIF('원본_CardLimitBreak'!$B$2:$B$4,"&lt;="&amp;'원본_RankAiEncounter'!N77,'원본_CardLimitBreak'!$C$2:$C$4)</x:f>
        <x:v>10</x:v>
      </x:c>
      <x:c r="O82" t="n">
        <x:f>VLOOKUP(I82,'카드성장'!$A$7:$G$46,'원본_RankAiEncounter'!I77+2,FALSE)+SUMIF('원본_CardLimitBreak'!$B$2:$B$4,"&lt;="&amp;'원본_RankAiEncounter'!O77,'원본_CardLimitBreak'!$C$2:$C$4)</x:f>
        <x:v>17</x:v>
      </x:c>
      <x:c r="P82" t="n">
        <x:f>VLOOKUP(J82,'카드성장'!$A$7:$G$46,'원본_RankAiEncounter'!J77+2,FALSE)+SUMIF('원본_CardLimitBreak'!$B$2:$B$4,"&lt;="&amp;'원본_RankAiEncounter'!P77,'원본_CardLimitBreak'!$C$2:$C$4)</x:f>
        <x:v>18</x:v>
      </x:c>
      <x:c r="Q82" t="n">
        <x:f>SUM(K82:P82)</x:f>
        <x:v>94</x:v>
      </x:c>
    </x:row>
    <x:row r="83">
      <x:c r="A83" t="n">
        <x:f>'원본_RankAiEncounter'!B78</x:f>
        <x:v>13</x:v>
      </x:c>
      <x:c r="B83" t="str">
        <x:f>'원본_RankAiEncounter'!C78</x:f>
        <x:v>Normal</x:v>
      </x:c>
      <x:c r="C83" t="str">
        <x:f>'원본_RankAiEncounter'!D78</x:f>
        <x:v>deck_02</x:v>
      </x:c>
      <x:c r="D83" t="n">
        <x:f>MAX(1,VLOOKUP(C83,'원본_AIDeck'!$B$2:$N$47,5,FALSE))</x:f>
        <x:v>1</x:v>
      </x:c>
      <x:c r="E83" t="n">
        <x:f>VLOOKUP(C83,'원본_AIDeck'!$B$2:$N$47,8,FALSE)</x:f>
        <x:v>20</x:v>
      </x:c>
      <x:c r="F83" t="n">
        <x:f>VLOOKUP(C83,'원본_AIDeck'!$B$2:$N$47,9,FALSE)</x:f>
        <x:v>18</x:v>
      </x:c>
      <x:c r="G83" t="n">
        <x:f>VLOOKUP(C83,'원본_AIDeck'!$B$2:$N$47,10,FALSE)</x:f>
        <x:v>19</x:v>
      </x:c>
      <x:c r="H83" t="n">
        <x:f>VLOOKUP(C83,'원본_AIDeck'!$B$2:$N$47,11,FALSE)</x:f>
        <x:v>4</x:v>
      </x:c>
      <x:c r="I83" t="n">
        <x:f>VLOOKUP(C83,'원본_AIDeck'!$B$2:$N$47,12,FALSE)</x:f>
        <x:v>37</x:v>
      </x:c>
      <x:c r="J83" t="n">
        <x:f>VLOOKUP(C83,'원본_AIDeck'!$B$2:$N$47,13,FALSE)</x:f>
        <x:v>31</x:v>
      </x:c>
      <x:c r="K83" t="n">
        <x:f>VLOOKUP(E83,'카드성장'!$A$7:$G$46,'원본_RankAiEncounter'!E78+2,FALSE)+SUMIF('원본_CardLimitBreak'!$B$2:$B$4,"&lt;="&amp;'원본_RankAiEncounter'!K78,'원본_CardLimitBreak'!$C$2:$C$4)</x:f>
        <x:v>18</x:v>
      </x:c>
      <x:c r="L83" t="n">
        <x:f>VLOOKUP(F83,'카드성장'!$A$7:$G$46,'원본_RankAiEncounter'!F78+2,FALSE)+SUMIF('원본_CardLimitBreak'!$B$2:$B$4,"&lt;="&amp;'원본_RankAiEncounter'!L78,'원본_CardLimitBreak'!$C$2:$C$4)</x:f>
        <x:v>14</x:v>
      </x:c>
      <x:c r="M83" t="n">
        <x:f>VLOOKUP(G83,'카드성장'!$A$7:$G$46,'원본_RankAiEncounter'!G78+2,FALSE)+SUMIF('원본_CardLimitBreak'!$B$2:$B$4,"&lt;="&amp;'원본_RankAiEncounter'!M78,'원본_CardLimitBreak'!$C$2:$C$4)</x:f>
        <x:v>17</x:v>
      </x:c>
      <x:c r="N83" t="n">
        <x:f>VLOOKUP(H83,'카드성장'!$A$7:$G$46,'원본_RankAiEncounter'!H78+2,FALSE)+SUMIF('원본_CardLimitBreak'!$B$2:$B$4,"&lt;="&amp;'원본_RankAiEncounter'!N78,'원본_CardLimitBreak'!$C$2:$C$4)</x:f>
        <x:v>9</x:v>
      </x:c>
      <x:c r="O83" t="n">
        <x:f>VLOOKUP(I83,'카드성장'!$A$7:$G$46,'원본_RankAiEncounter'!I78+2,FALSE)+SUMIF('원본_CardLimitBreak'!$B$2:$B$4,"&lt;="&amp;'원본_RankAiEncounter'!O78,'원본_CardLimitBreak'!$C$2:$C$4)</x:f>
        <x:v>18</x:v>
      </x:c>
      <x:c r="P83" t="n">
        <x:f>VLOOKUP(J83,'카드성장'!$A$7:$G$46,'원본_RankAiEncounter'!J78+2,FALSE)+SUMIF('원본_CardLimitBreak'!$B$2:$B$4,"&lt;="&amp;'원본_RankAiEncounter'!P78,'원본_CardLimitBreak'!$C$2:$C$4)</x:f>
        <x:v>18</x:v>
      </x:c>
      <x:c r="Q83" t="n">
        <x:f>SUM(K83:P83)</x:f>
        <x:v>94</x:v>
      </x:c>
    </x:row>
    <x:row r="84">
      <x:c r="A84" t="n">
        <x:f>'원본_RankAiEncounter'!B79</x:f>
        <x:v>13</x:v>
      </x:c>
      <x:c r="B84" t="str">
        <x:f>'원본_RankAiEncounter'!C79</x:f>
        <x:v>Normal</x:v>
      </x:c>
      <x:c r="C84" t="str">
        <x:f>'원본_RankAiEncounter'!D79</x:f>
        <x:v>deck_03</x:v>
      </x:c>
      <x:c r="D84" t="n">
        <x:f>MAX(1,VLOOKUP(C84,'원본_AIDeck'!$B$2:$N$47,5,FALSE))</x:f>
        <x:v>1</x:v>
      </x:c>
      <x:c r="E84" t="n">
        <x:f>VLOOKUP(C84,'원본_AIDeck'!$B$2:$N$47,8,FALSE)</x:f>
        <x:v>4</x:v>
      </x:c>
      <x:c r="F84" t="n">
        <x:f>VLOOKUP(C84,'원본_AIDeck'!$B$2:$N$47,9,FALSE)</x:f>
        <x:v>2</x:v>
      </x:c>
      <x:c r="G84" t="n">
        <x:f>VLOOKUP(C84,'원본_AIDeck'!$B$2:$N$47,10,FALSE)</x:f>
        <x:v>1</x:v>
      </x:c>
      <x:c r="H84" t="n">
        <x:f>VLOOKUP(C84,'원본_AIDeck'!$B$2:$N$47,11,FALSE)</x:f>
        <x:v>6</x:v>
      </x:c>
      <x:c r="I84" t="n">
        <x:f>VLOOKUP(C84,'원본_AIDeck'!$B$2:$N$47,12,FALSE)</x:f>
        <x:v>28</x:v>
      </x:c>
      <x:c r="J84" t="n">
        <x:f>VLOOKUP(C84,'원본_AIDeck'!$B$2:$N$47,13,FALSE)</x:f>
        <x:v>12</x:v>
      </x:c>
      <x:c r="K84" t="n">
        <x:f>VLOOKUP(E84,'카드성장'!$A$7:$G$46,'원본_RankAiEncounter'!E79+2,FALSE)+SUMIF('원본_CardLimitBreak'!$B$2:$B$4,"&lt;="&amp;'원본_RankAiEncounter'!K79,'원본_CardLimitBreak'!$C$2:$C$4)</x:f>
        <x:v>18</x:v>
      </x:c>
      <x:c r="L84" t="n">
        <x:f>VLOOKUP(F84,'카드성장'!$A$7:$G$46,'원본_RankAiEncounter'!F79+2,FALSE)+SUMIF('원본_CardLimitBreak'!$B$2:$B$4,"&lt;="&amp;'원본_RankAiEncounter'!L79,'원본_CardLimitBreak'!$C$2:$C$4)</x:f>
        <x:v>15</x:v>
      </x:c>
      <x:c r="M84" t="n">
        <x:f>VLOOKUP(G84,'카드성장'!$A$7:$G$46,'원본_RankAiEncounter'!G79+2,FALSE)+SUMIF('원본_CardLimitBreak'!$B$2:$B$4,"&lt;="&amp;'원본_RankAiEncounter'!M79,'원본_CardLimitBreak'!$C$2:$C$4)</x:f>
        <x:v>14</x:v>
      </x:c>
      <x:c r="N84" t="n">
        <x:f>VLOOKUP(H84,'카드성장'!$A$7:$G$46,'원본_RankAiEncounter'!H79+2,FALSE)+SUMIF('원본_CardLimitBreak'!$B$2:$B$4,"&lt;="&amp;'원본_RankAiEncounter'!N79,'원본_CardLimitBreak'!$C$2:$C$4)</x:f>
        <x:v>10</x:v>
      </x:c>
      <x:c r="O84" t="n">
        <x:f>VLOOKUP(I84,'카드성장'!$A$7:$G$46,'원본_RankAiEncounter'!I79+2,FALSE)+SUMIF('원본_CardLimitBreak'!$B$2:$B$4,"&lt;="&amp;'원본_RankAiEncounter'!O79,'원본_CardLimitBreak'!$C$2:$C$4)</x:f>
        <x:v>20</x:v>
      </x:c>
      <x:c r="P84" t="n">
        <x:f>VLOOKUP(J84,'카드성장'!$A$7:$G$46,'원본_RankAiEncounter'!J79+2,FALSE)+SUMIF('원본_CardLimitBreak'!$B$2:$B$4,"&lt;="&amp;'원본_RankAiEncounter'!P79,'원본_CardLimitBreak'!$C$2:$C$4)</x:f>
        <x:v>19</x:v>
      </x:c>
      <x:c r="Q84" t="n">
        <x:f>SUM(K84:P84)</x:f>
        <x:v>96</x:v>
      </x:c>
    </x:row>
    <x:row r="85">
      <x:c r="A85" t="n">
        <x:f>'원본_RankAiEncounter'!B80</x:f>
        <x:v>13</x:v>
      </x:c>
      <x:c r="B85" t="str">
        <x:f>'원본_RankAiEncounter'!C80</x:f>
        <x:v>Normal</x:v>
      </x:c>
      <x:c r="C85" t="str">
        <x:f>'원본_RankAiEncounter'!D80</x:f>
        <x:v>deck_04</x:v>
      </x:c>
      <x:c r="D85" t="n">
        <x:f>MAX(1,VLOOKUP(C85,'원본_AIDeck'!$B$2:$N$47,5,FALSE))</x:f>
        <x:v>1</x:v>
      </x:c>
      <x:c r="E85" t="n">
        <x:f>VLOOKUP(C85,'원본_AIDeck'!$B$2:$N$47,8,FALSE)</x:f>
        <x:v>4</x:v>
      </x:c>
      <x:c r="F85" t="n">
        <x:f>VLOOKUP(C85,'원본_AIDeck'!$B$2:$N$47,9,FALSE)</x:f>
        <x:v>2</x:v>
      </x:c>
      <x:c r="G85" t="n">
        <x:f>VLOOKUP(C85,'원본_AIDeck'!$B$2:$N$47,10,FALSE)</x:f>
        <x:v>32</x:v>
      </x:c>
      <x:c r="H85" t="n">
        <x:f>VLOOKUP(C85,'원본_AIDeck'!$B$2:$N$47,11,FALSE)</x:f>
        <x:v>27</x:v>
      </x:c>
      <x:c r="I85" t="n">
        <x:f>VLOOKUP(C85,'원본_AIDeck'!$B$2:$N$47,12,FALSE)</x:f>
        <x:v>6</x:v>
      </x:c>
      <x:c r="J85" t="n">
        <x:f>VLOOKUP(C85,'원본_AIDeck'!$B$2:$N$47,13,FALSE)</x:f>
        <x:v>38</x:v>
      </x:c>
      <x:c r="K85" t="n">
        <x:f>VLOOKUP(E85,'카드성장'!$A$7:$G$46,'원본_RankAiEncounter'!E80+2,FALSE)+SUMIF('원본_CardLimitBreak'!$B$2:$B$4,"&lt;="&amp;'원본_RankAiEncounter'!K80,'원본_CardLimitBreak'!$C$2:$C$4)</x:f>
        <x:v>18</x:v>
      </x:c>
      <x:c r="L85" t="n">
        <x:f>VLOOKUP(F85,'카드성장'!$A$7:$G$46,'원본_RankAiEncounter'!F80+2,FALSE)+SUMIF('원본_CardLimitBreak'!$B$2:$B$4,"&lt;="&amp;'원본_RankAiEncounter'!L80,'원본_CardLimitBreak'!$C$2:$C$4)</x:f>
        <x:v>15</x:v>
      </x:c>
      <x:c r="M85" t="n">
        <x:f>VLOOKUP(G85,'카드성장'!$A$7:$G$46,'원본_RankAiEncounter'!G80+2,FALSE)+SUMIF('원본_CardLimitBreak'!$B$2:$B$4,"&lt;="&amp;'원본_RankAiEncounter'!M80,'원본_CardLimitBreak'!$C$2:$C$4)</x:f>
        <x:v>17</x:v>
      </x:c>
      <x:c r="N85" t="n">
        <x:f>VLOOKUP(H85,'카드성장'!$A$7:$G$46,'원본_RankAiEncounter'!H80+2,FALSE)+SUMIF('원본_CardLimitBreak'!$B$2:$B$4,"&lt;="&amp;'원본_RankAiEncounter'!N80,'원본_CardLimitBreak'!$C$2:$C$4)</x:f>
        <x:v>7</x:v>
      </x:c>
      <x:c r="O85" t="n">
        <x:f>VLOOKUP(I85,'카드성장'!$A$7:$G$46,'원본_RankAiEncounter'!I80+2,FALSE)+SUMIF('원본_CardLimitBreak'!$B$2:$B$4,"&lt;="&amp;'원본_RankAiEncounter'!O80,'원본_CardLimitBreak'!$C$2:$C$4)</x:f>
        <x:v>20</x:v>
      </x:c>
      <x:c r="P85" t="n">
        <x:f>VLOOKUP(J85,'카드성장'!$A$7:$G$46,'원본_RankAiEncounter'!J80+2,FALSE)+SUMIF('원본_CardLimitBreak'!$B$2:$B$4,"&lt;="&amp;'원본_RankAiEncounter'!P80,'원본_CardLimitBreak'!$C$2:$C$4)</x:f>
        <x:v>19</x:v>
      </x:c>
      <x:c r="Q85" t="n">
        <x:f>SUM(K85:P85)</x:f>
        <x:v>96</x:v>
      </x:c>
    </x:row>
    <x:row r="86">
      <x:c r="A86" t="n">
        <x:f>'원본_RankAiEncounter'!B81</x:f>
        <x:v>13</x:v>
      </x:c>
      <x:c r="B86" t="str">
        <x:f>'원본_RankAiEncounter'!C81</x:f>
        <x:v>Normal</x:v>
      </x:c>
      <x:c r="C86" t="str">
        <x:f>'원본_RankAiEncounter'!D81</x:f>
        <x:v>deck_05</x:v>
      </x:c>
      <x:c r="D86" t="n">
        <x:f>MAX(1,VLOOKUP(C86,'원본_AIDeck'!$B$2:$N$47,5,FALSE))</x:f>
        <x:v>1</x:v>
      </x:c>
      <x:c r="E86" t="n">
        <x:f>VLOOKUP(C86,'원본_AIDeck'!$B$2:$N$47,8,FALSE)</x:f>
        <x:v>15</x:v>
      </x:c>
      <x:c r="F86" t="n">
        <x:f>VLOOKUP(C86,'원본_AIDeck'!$B$2:$N$47,9,FALSE)</x:f>
        <x:v>16</x:v>
      </x:c>
      <x:c r="G86" t="n">
        <x:f>VLOOKUP(C86,'원본_AIDeck'!$B$2:$N$47,10,FALSE)</x:f>
        <x:v>25</x:v>
      </x:c>
      <x:c r="H86" t="n">
        <x:f>VLOOKUP(C86,'원본_AIDeck'!$B$2:$N$47,11,FALSE)</x:f>
        <x:v>20</x:v>
      </x:c>
      <x:c r="I86" t="n">
        <x:f>VLOOKUP(C86,'원본_AIDeck'!$B$2:$N$47,12,FALSE)</x:f>
        <x:v>29</x:v>
      </x:c>
      <x:c r="J86" t="n">
        <x:f>VLOOKUP(C86,'원본_AIDeck'!$B$2:$N$47,13,FALSE)</x:f>
        <x:v>37</x:v>
      </x:c>
      <x:c r="K86" t="n">
        <x:f>VLOOKUP(E86,'카드성장'!$A$7:$G$46,'원본_RankAiEncounter'!E81+2,FALSE)+SUMIF('원본_CardLimitBreak'!$B$2:$B$4,"&lt;="&amp;'원본_RankAiEncounter'!K81,'원본_CardLimitBreak'!$C$2:$C$4)</x:f>
        <x:v>15</x:v>
      </x:c>
      <x:c r="L86" t="n">
        <x:f>VLOOKUP(F86,'카드성장'!$A$7:$G$46,'원본_RankAiEncounter'!F81+2,FALSE)+SUMIF('원본_CardLimitBreak'!$B$2:$B$4,"&lt;="&amp;'원본_RankAiEncounter'!L81,'원본_CardLimitBreak'!$C$2:$C$4)</x:f>
        <x:v>14</x:v>
      </x:c>
      <x:c r="M86" t="n">
        <x:f>VLOOKUP(G86,'카드성장'!$A$7:$G$46,'원본_RankAiEncounter'!G81+2,FALSE)+SUMIF('원본_CardLimitBreak'!$B$2:$B$4,"&lt;="&amp;'원본_RankAiEncounter'!M81,'원본_CardLimitBreak'!$C$2:$C$4)</x:f>
        <x:v>18</x:v>
      </x:c>
      <x:c r="N86" t="n">
        <x:f>VLOOKUP(H86,'카드성장'!$A$7:$G$46,'원본_RankAiEncounter'!H81+2,FALSE)+SUMIF('원본_CardLimitBreak'!$B$2:$B$4,"&lt;="&amp;'원본_RankAiEncounter'!N81,'원본_CardLimitBreak'!$C$2:$C$4)</x:f>
        <x:v>8</x:v>
      </x:c>
      <x:c r="O86" t="n">
        <x:f>VLOOKUP(I86,'카드성장'!$A$7:$G$46,'원본_RankAiEncounter'!I81+2,FALSE)+SUMIF('원본_CardLimitBreak'!$B$2:$B$4,"&lt;="&amp;'원본_RankAiEncounter'!O81,'원본_CardLimitBreak'!$C$2:$C$4)</x:f>
        <x:v>17</x:v>
      </x:c>
      <x:c r="P86" t="n">
        <x:f>VLOOKUP(J86,'카드성장'!$A$7:$G$46,'원본_RankAiEncounter'!J81+2,FALSE)+SUMIF('원본_CardLimitBreak'!$B$2:$B$4,"&lt;="&amp;'원본_RankAiEncounter'!P81,'원본_CardLimitBreak'!$C$2:$C$4)</x:f>
        <x:v>17</x:v>
      </x:c>
      <x:c r="Q86" t="n">
        <x:f>SUM(K86:P86)</x:f>
        <x:v>89</x:v>
      </x:c>
    </x:row>
    <x:row r="87">
      <x:c r="A87" t="n">
        <x:f>'원본_RankAiEncounter'!B82</x:f>
        <x:v>13</x:v>
      </x:c>
      <x:c r="B87" t="str">
        <x:f>'원본_RankAiEncounter'!C82</x:f>
        <x:v>Normal</x:v>
      </x:c>
      <x:c r="C87" t="str">
        <x:f>'원본_RankAiEncounter'!D82</x:f>
        <x:v>deck_06</x:v>
      </x:c>
      <x:c r="D87" t="n">
        <x:f>MAX(1,VLOOKUP(C87,'원본_AIDeck'!$B$2:$N$47,5,FALSE))</x:f>
        <x:v>1</x:v>
      </x:c>
      <x:c r="E87" t="n">
        <x:f>VLOOKUP(C87,'원본_AIDeck'!$B$2:$N$47,8,FALSE)</x:f>
        <x:v>15</x:v>
      </x:c>
      <x:c r="F87" t="n">
        <x:f>VLOOKUP(C87,'원본_AIDeck'!$B$2:$N$47,9,FALSE)</x:f>
        <x:v>16</x:v>
      </x:c>
      <x:c r="G87" t="n">
        <x:f>VLOOKUP(C87,'원본_AIDeck'!$B$2:$N$47,10,FALSE)</x:f>
        <x:v>25</x:v>
      </x:c>
      <x:c r="H87" t="n">
        <x:f>VLOOKUP(C87,'원본_AIDeck'!$B$2:$N$47,11,FALSE)</x:f>
        <x:v>20</x:v>
      </x:c>
      <x:c r="I87" t="n">
        <x:f>VLOOKUP(C87,'원본_AIDeck'!$B$2:$N$47,12,FALSE)</x:f>
        <x:v>6</x:v>
      </x:c>
      <x:c r="J87" t="n">
        <x:f>VLOOKUP(C87,'원본_AIDeck'!$B$2:$N$47,13,FALSE)</x:f>
        <x:v>38</x:v>
      </x:c>
      <x:c r="K87" t="n">
        <x:f>VLOOKUP(E87,'카드성장'!$A$7:$G$46,'원본_RankAiEncounter'!E82+2,FALSE)+SUMIF('원본_CardLimitBreak'!$B$2:$B$4,"&lt;="&amp;'원본_RankAiEncounter'!K82,'원본_CardLimitBreak'!$C$2:$C$4)</x:f>
        <x:v>15</x:v>
      </x:c>
      <x:c r="L87" t="n">
        <x:f>VLOOKUP(F87,'카드성장'!$A$7:$G$46,'원본_RankAiEncounter'!F82+2,FALSE)+SUMIF('원본_CardLimitBreak'!$B$2:$B$4,"&lt;="&amp;'원본_RankAiEncounter'!L82,'원본_CardLimitBreak'!$C$2:$C$4)</x:f>
        <x:v>14</x:v>
      </x:c>
      <x:c r="M87" t="n">
        <x:f>VLOOKUP(G87,'카드성장'!$A$7:$G$46,'원본_RankAiEncounter'!G82+2,FALSE)+SUMIF('원본_CardLimitBreak'!$B$2:$B$4,"&lt;="&amp;'원본_RankAiEncounter'!M82,'원본_CardLimitBreak'!$C$2:$C$4)</x:f>
        <x:v>18</x:v>
      </x:c>
      <x:c r="N87" t="n">
        <x:f>VLOOKUP(H87,'카드성장'!$A$7:$G$46,'원본_RankAiEncounter'!H82+2,FALSE)+SUMIF('원본_CardLimitBreak'!$B$2:$B$4,"&lt;="&amp;'원본_RankAiEncounter'!N82,'원본_CardLimitBreak'!$C$2:$C$4)</x:f>
        <x:v>8</x:v>
      </x:c>
      <x:c r="O87" t="n">
        <x:f>VLOOKUP(I87,'카드성장'!$A$7:$G$46,'원본_RankAiEncounter'!I82+2,FALSE)+SUMIF('원본_CardLimitBreak'!$B$2:$B$4,"&lt;="&amp;'원본_RankAiEncounter'!O82,'원본_CardLimitBreak'!$C$2:$C$4)</x:f>
        <x:v>20</x:v>
      </x:c>
      <x:c r="P87" t="n">
        <x:f>VLOOKUP(J87,'카드성장'!$A$7:$G$46,'원본_RankAiEncounter'!J82+2,FALSE)+SUMIF('원본_CardLimitBreak'!$B$2:$B$4,"&lt;="&amp;'원본_RankAiEncounter'!P82,'원본_CardLimitBreak'!$C$2:$C$4)</x:f>
        <x:v>19</x:v>
      </x:c>
      <x:c r="Q87" t="n">
        <x:f>SUM(K87:P87)</x:f>
        <x:v>94</x:v>
      </x:c>
    </x:row>
    <x:row r="88">
      <x:c r="A88" t="n">
        <x:f>'원본_RankAiEncounter'!B83</x:f>
        <x:v>13</x:v>
      </x:c>
      <x:c r="B88" t="str">
        <x:f>'원본_RankAiEncounter'!C83</x:f>
        <x:v>Normal</x:v>
      </x:c>
      <x:c r="C88" t="str">
        <x:f>'원본_RankAiEncounter'!D83</x:f>
        <x:v>deck_07</x:v>
      </x:c>
      <x:c r="D88" t="n">
        <x:f>MAX(1,VLOOKUP(C88,'원본_AIDeck'!$B$2:$N$47,5,FALSE))</x:f>
        <x:v>1</x:v>
      </x:c>
      <x:c r="E88" t="n">
        <x:f>VLOOKUP(C88,'원본_AIDeck'!$B$2:$N$47,8,FALSE)</x:f>
        <x:v>8</x:v>
      </x:c>
      <x:c r="F88" t="n">
        <x:f>VLOOKUP(C88,'원본_AIDeck'!$B$2:$N$47,9,FALSE)</x:f>
        <x:v>9</x:v>
      </x:c>
      <x:c r="G88" t="n">
        <x:f>VLOOKUP(C88,'원본_AIDeck'!$B$2:$N$47,10,FALSE)</x:f>
        <x:v>10</x:v>
      </x:c>
      <x:c r="H88" t="n">
        <x:f>VLOOKUP(C88,'원본_AIDeck'!$B$2:$N$47,11,FALSE)</x:f>
        <x:v>20</x:v>
      </x:c>
      <x:c r="I88" t="n">
        <x:f>VLOOKUP(C88,'원본_AIDeck'!$B$2:$N$47,12,FALSE)</x:f>
        <x:v>6</x:v>
      </x:c>
      <x:c r="J88" t="n">
        <x:f>VLOOKUP(C88,'원본_AIDeck'!$B$2:$N$47,13,FALSE)</x:f>
        <x:v>27</x:v>
      </x:c>
      <x:c r="K88" t="n">
        <x:f>VLOOKUP(E88,'카드성장'!$A$7:$G$46,'원본_RankAiEncounter'!E83+2,FALSE)+SUMIF('원본_CardLimitBreak'!$B$2:$B$4,"&lt;="&amp;'원본_RankAiEncounter'!K83,'원본_CardLimitBreak'!$C$2:$C$4)</x:f>
        <x:v>18</x:v>
      </x:c>
      <x:c r="L88" t="n">
        <x:f>VLOOKUP(F88,'카드성장'!$A$7:$G$46,'원본_RankAiEncounter'!F83+2,FALSE)+SUMIF('원본_CardLimitBreak'!$B$2:$B$4,"&lt;="&amp;'원본_RankAiEncounter'!L83,'원본_CardLimitBreak'!$C$2:$C$4)</x:f>
        <x:v>15</x:v>
      </x:c>
      <x:c r="M88" t="n">
        <x:f>VLOOKUP(G88,'카드성장'!$A$7:$G$46,'원본_RankAiEncounter'!G83+2,FALSE)+SUMIF('원본_CardLimitBreak'!$B$2:$B$4,"&lt;="&amp;'원본_RankAiEncounter'!M83,'원본_CardLimitBreak'!$C$2:$C$4)</x:f>
        <x:v>18</x:v>
      </x:c>
      <x:c r="N88" t="n">
        <x:f>VLOOKUP(H88,'카드성장'!$A$7:$G$46,'원본_RankAiEncounter'!H83+2,FALSE)+SUMIF('원본_CardLimitBreak'!$B$2:$B$4,"&lt;="&amp;'원본_RankAiEncounter'!N83,'원본_CardLimitBreak'!$C$2:$C$4)</x:f>
        <x:v>18</x:v>
      </x:c>
      <x:c r="O88" t="n">
        <x:f>VLOOKUP(I88,'카드성장'!$A$7:$G$46,'원본_RankAiEncounter'!I83+2,FALSE)+SUMIF('원본_CardLimitBreak'!$B$2:$B$4,"&lt;="&amp;'원본_RankAiEncounter'!O83,'원본_CardLimitBreak'!$C$2:$C$4)</x:f>
        <x:v>10</x:v>
      </x:c>
      <x:c r="P88" t="n">
        <x:f>VLOOKUP(J88,'카드성장'!$A$7:$G$46,'원본_RankAiEncounter'!J83+2,FALSE)+SUMIF('원본_CardLimitBreak'!$B$2:$B$4,"&lt;="&amp;'원본_RankAiEncounter'!P83,'원본_CardLimitBreak'!$C$2:$C$4)</x:f>
        <x:v>15</x:v>
      </x:c>
      <x:c r="Q88" t="n">
        <x:f>SUM(K88:P88)</x:f>
        <x:v>94</x:v>
      </x:c>
    </x:row>
    <x:row r="89">
      <x:c r="A89" t="n">
        <x:f>'원본_RankAiEncounter'!B84</x:f>
        <x:v>13</x:v>
      </x:c>
      <x:c r="B89" t="str">
        <x:f>'원본_RankAiEncounter'!C84</x:f>
        <x:v>Normal</x:v>
      </x:c>
      <x:c r="C89" t="str">
        <x:f>'원본_RankAiEncounter'!D84</x:f>
        <x:v>deck_08</x:v>
      </x:c>
      <x:c r="D89" t="n">
        <x:f>MAX(1,VLOOKUP(C89,'원본_AIDeck'!$B$2:$N$47,5,FALSE))</x:f>
        <x:v>1</x:v>
      </x:c>
      <x:c r="E89" t="n">
        <x:f>VLOOKUP(C89,'원본_AIDeck'!$B$2:$N$47,8,FALSE)</x:f>
        <x:v>5</x:v>
      </x:c>
      <x:c r="F89" t="n">
        <x:f>VLOOKUP(C89,'원본_AIDeck'!$B$2:$N$47,9,FALSE)</x:f>
        <x:v>6</x:v>
      </x:c>
      <x:c r="G89" t="n">
        <x:f>VLOOKUP(C89,'원본_AIDeck'!$B$2:$N$47,10,FALSE)</x:f>
        <x:v>33</x:v>
      </x:c>
      <x:c r="H89" t="n">
        <x:f>VLOOKUP(C89,'원본_AIDeck'!$B$2:$N$47,11,FALSE)</x:f>
        <x:v>28</x:v>
      </x:c>
      <x:c r="I89" t="n">
        <x:f>VLOOKUP(C89,'원본_AIDeck'!$B$2:$N$47,12,FALSE)</x:f>
        <x:v>12</x:v>
      </x:c>
      <x:c r="J89" t="n">
        <x:f>VLOOKUP(C89,'원본_AIDeck'!$B$2:$N$47,13,FALSE)</x:f>
        <x:v>10</x:v>
      </x:c>
      <x:c r="K89" t="n">
        <x:f>VLOOKUP(E89,'카드성장'!$A$7:$G$46,'원본_RankAiEncounter'!E84+2,FALSE)+SUMIF('원본_CardLimitBreak'!$B$2:$B$4,"&lt;="&amp;'원본_RankAiEncounter'!K84,'원본_CardLimitBreak'!$C$2:$C$4)</x:f>
        <x:v>20</x:v>
      </x:c>
      <x:c r="L89" t="n">
        <x:f>VLOOKUP(F89,'카드성장'!$A$7:$G$46,'원본_RankAiEncounter'!F84+2,FALSE)+SUMIF('원본_CardLimitBreak'!$B$2:$B$4,"&lt;="&amp;'원본_RankAiEncounter'!L84,'원본_CardLimitBreak'!$C$2:$C$4)</x:f>
        <x:v>10</x:v>
      </x:c>
      <x:c r="M89" t="n">
        <x:f>VLOOKUP(G89,'카드성장'!$A$7:$G$46,'원본_RankAiEncounter'!G84+2,FALSE)+SUMIF('원본_CardLimitBreak'!$B$2:$B$4,"&lt;="&amp;'원본_RankAiEncounter'!M84,'원본_CardLimitBreak'!$C$2:$C$4)</x:f>
        <x:v>16</x:v>
      </x:c>
      <x:c r="N89" t="n">
        <x:f>VLOOKUP(H89,'카드성장'!$A$7:$G$46,'원본_RankAiEncounter'!H84+2,FALSE)+SUMIF('원본_CardLimitBreak'!$B$2:$B$4,"&lt;="&amp;'원본_RankAiEncounter'!N84,'원본_CardLimitBreak'!$C$2:$C$4)</x:f>
        <x:v>20</x:v>
      </x:c>
      <x:c r="O89" t="n">
        <x:f>VLOOKUP(I89,'카드성장'!$A$7:$G$46,'원본_RankAiEncounter'!I84+2,FALSE)+SUMIF('원본_CardLimitBreak'!$B$2:$B$4,"&lt;="&amp;'원본_RankAiEncounter'!O84,'원본_CardLimitBreak'!$C$2:$C$4)</x:f>
        <x:v>19</x:v>
      </x:c>
      <x:c r="P89" t="n">
        <x:f>VLOOKUP(J89,'카드성장'!$A$7:$G$46,'원본_RankAiEncounter'!J84+2,FALSE)+SUMIF('원본_CardLimitBreak'!$B$2:$B$4,"&lt;="&amp;'원본_RankAiEncounter'!P84,'원본_CardLimitBreak'!$C$2:$C$4)</x:f>
        <x:v>18</x:v>
      </x:c>
      <x:c r="Q89" t="n">
        <x:f>SUM(K89:P89)</x:f>
        <x:v>103</x:v>
      </x:c>
    </x:row>
    <x:row r="90">
      <x:c r="A90" t="n">
        <x:f>'원본_RankAiEncounter'!B85</x:f>
        <x:v>14</x:v>
      </x:c>
      <x:c r="B90" t="str">
        <x:f>'원본_RankAiEncounter'!C85</x:f>
        <x:v>Normal</x:v>
      </x:c>
      <x:c r="C90" t="str">
        <x:f>'원본_RankAiEncounter'!D85</x:f>
        <x:v>deck_01</x:v>
      </x:c>
      <x:c r="D90" t="n">
        <x:f>MAX(1,VLOOKUP(C90,'원본_AIDeck'!$B$2:$N$47,5,FALSE))</x:f>
        <x:v>1</x:v>
      </x:c>
      <x:c r="E90" t="n">
        <x:f>VLOOKUP(C90,'원본_AIDeck'!$B$2:$N$47,8,FALSE)</x:f>
        <x:v>20</x:v>
      </x:c>
      <x:c r="F90" t="n">
        <x:f>VLOOKUP(C90,'원본_AIDeck'!$B$2:$N$47,9,FALSE)</x:f>
        <x:v>18</x:v>
      </x:c>
      <x:c r="G90" t="n">
        <x:f>VLOOKUP(C90,'원본_AIDeck'!$B$2:$N$47,10,FALSE)</x:f>
        <x:v>19</x:v>
      </x:c>
      <x:c r="H90" t="n">
        <x:f>VLOOKUP(C90,'원본_AIDeck'!$B$2:$N$47,11,FALSE)</x:f>
        <x:v>6</x:v>
      </x:c>
      <x:c r="I90" t="n">
        <x:f>VLOOKUP(C90,'원본_AIDeck'!$B$2:$N$47,12,FALSE)</x:f>
        <x:v>13</x:v>
      </x:c>
      <x:c r="J90" t="n">
        <x:f>VLOOKUP(C90,'원본_AIDeck'!$B$2:$N$47,13,FALSE)</x:f>
        <x:v>14</x:v>
      </x:c>
      <x:c r="K90" t="n">
        <x:f>VLOOKUP(E90,'카드성장'!$A$7:$G$46,'원본_RankAiEncounter'!E85+2,FALSE)+SUMIF('원본_CardLimitBreak'!$B$2:$B$4,"&lt;="&amp;'원본_RankAiEncounter'!K85,'원본_CardLimitBreak'!$C$2:$C$4)</x:f>
        <x:v>18</x:v>
      </x:c>
      <x:c r="L90" t="n">
        <x:f>VLOOKUP(F90,'카드성장'!$A$7:$G$46,'원본_RankAiEncounter'!F85+2,FALSE)+SUMIF('원본_CardLimitBreak'!$B$2:$B$4,"&lt;="&amp;'원본_RankAiEncounter'!L85,'원본_CardLimitBreak'!$C$2:$C$4)</x:f>
        <x:v>14</x:v>
      </x:c>
      <x:c r="M90" t="n">
        <x:f>VLOOKUP(G90,'카드성장'!$A$7:$G$46,'원본_RankAiEncounter'!G85+2,FALSE)+SUMIF('원본_CardLimitBreak'!$B$2:$B$4,"&lt;="&amp;'원본_RankAiEncounter'!M85,'원본_CardLimitBreak'!$C$2:$C$4)</x:f>
        <x:v>17</x:v>
      </x:c>
      <x:c r="N90" t="n">
        <x:f>VLOOKUP(H90,'카드성장'!$A$7:$G$46,'원본_RankAiEncounter'!H85+2,FALSE)+SUMIF('원본_CardLimitBreak'!$B$2:$B$4,"&lt;="&amp;'원본_RankAiEncounter'!N85,'원본_CardLimitBreak'!$C$2:$C$4)</x:f>
        <x:v>10</x:v>
      </x:c>
      <x:c r="O90" t="n">
        <x:f>VLOOKUP(I90,'카드성장'!$A$7:$G$46,'원본_RankAiEncounter'!I85+2,FALSE)+SUMIF('원본_CardLimitBreak'!$B$2:$B$4,"&lt;="&amp;'원본_RankAiEncounter'!O85,'원본_CardLimitBreak'!$C$2:$C$4)</x:f>
        <x:v>17</x:v>
      </x:c>
      <x:c r="P90" t="n">
        <x:f>VLOOKUP(J90,'카드성장'!$A$7:$G$46,'원본_RankAiEncounter'!J85+2,FALSE)+SUMIF('원본_CardLimitBreak'!$B$2:$B$4,"&lt;="&amp;'원본_RankAiEncounter'!P85,'원본_CardLimitBreak'!$C$2:$C$4)</x:f>
        <x:v>18</x:v>
      </x:c>
      <x:c r="Q90" t="n">
        <x:f>SUM(K90:P90)</x:f>
        <x:v>94</x:v>
      </x:c>
    </x:row>
    <x:row r="91">
      <x:c r="A91" t="n">
        <x:f>'원본_RankAiEncounter'!B86</x:f>
        <x:v>14</x:v>
      </x:c>
      <x:c r="B91" t="str">
        <x:f>'원본_RankAiEncounter'!C86</x:f>
        <x:v>Normal</x:v>
      </x:c>
      <x:c r="C91" t="str">
        <x:f>'원본_RankAiEncounter'!D86</x:f>
        <x:v>deck_02</x:v>
      </x:c>
      <x:c r="D91" t="n">
        <x:f>MAX(1,VLOOKUP(C91,'원본_AIDeck'!$B$2:$N$47,5,FALSE))</x:f>
        <x:v>1</x:v>
      </x:c>
      <x:c r="E91" t="n">
        <x:f>VLOOKUP(C91,'원본_AIDeck'!$B$2:$N$47,8,FALSE)</x:f>
        <x:v>20</x:v>
      </x:c>
      <x:c r="F91" t="n">
        <x:f>VLOOKUP(C91,'원본_AIDeck'!$B$2:$N$47,9,FALSE)</x:f>
        <x:v>18</x:v>
      </x:c>
      <x:c r="G91" t="n">
        <x:f>VLOOKUP(C91,'원본_AIDeck'!$B$2:$N$47,10,FALSE)</x:f>
        <x:v>19</x:v>
      </x:c>
      <x:c r="H91" t="n">
        <x:f>VLOOKUP(C91,'원본_AIDeck'!$B$2:$N$47,11,FALSE)</x:f>
        <x:v>4</x:v>
      </x:c>
      <x:c r="I91" t="n">
        <x:f>VLOOKUP(C91,'원본_AIDeck'!$B$2:$N$47,12,FALSE)</x:f>
        <x:v>37</x:v>
      </x:c>
      <x:c r="J91" t="n">
        <x:f>VLOOKUP(C91,'원본_AIDeck'!$B$2:$N$47,13,FALSE)</x:f>
        <x:v>31</x:v>
      </x:c>
      <x:c r="K91" t="n">
        <x:f>VLOOKUP(E91,'카드성장'!$A$7:$G$46,'원본_RankAiEncounter'!E86+2,FALSE)+SUMIF('원본_CardLimitBreak'!$B$2:$B$4,"&lt;="&amp;'원본_RankAiEncounter'!K86,'원본_CardLimitBreak'!$C$2:$C$4)</x:f>
        <x:v>18</x:v>
      </x:c>
      <x:c r="L91" t="n">
        <x:f>VLOOKUP(F91,'카드성장'!$A$7:$G$46,'원본_RankAiEncounter'!F86+2,FALSE)+SUMIF('원본_CardLimitBreak'!$B$2:$B$4,"&lt;="&amp;'원본_RankAiEncounter'!L86,'원본_CardLimitBreak'!$C$2:$C$4)</x:f>
        <x:v>14</x:v>
      </x:c>
      <x:c r="M91" t="n">
        <x:f>VLOOKUP(G91,'카드성장'!$A$7:$G$46,'원본_RankAiEncounter'!G86+2,FALSE)+SUMIF('원본_CardLimitBreak'!$B$2:$B$4,"&lt;="&amp;'원본_RankAiEncounter'!M86,'원본_CardLimitBreak'!$C$2:$C$4)</x:f>
        <x:v>17</x:v>
      </x:c>
      <x:c r="N91" t="n">
        <x:f>VLOOKUP(H91,'카드성장'!$A$7:$G$46,'원본_RankAiEncounter'!H86+2,FALSE)+SUMIF('원본_CardLimitBreak'!$B$2:$B$4,"&lt;="&amp;'원본_RankAiEncounter'!N86,'원본_CardLimitBreak'!$C$2:$C$4)</x:f>
        <x:v>9</x:v>
      </x:c>
      <x:c r="O91" t="n">
        <x:f>VLOOKUP(I91,'카드성장'!$A$7:$G$46,'원본_RankAiEncounter'!I86+2,FALSE)+SUMIF('원본_CardLimitBreak'!$B$2:$B$4,"&lt;="&amp;'원본_RankAiEncounter'!O86,'원본_CardLimitBreak'!$C$2:$C$4)</x:f>
        <x:v>18</x:v>
      </x:c>
      <x:c r="P91" t="n">
        <x:f>VLOOKUP(J91,'카드성장'!$A$7:$G$46,'원본_RankAiEncounter'!J86+2,FALSE)+SUMIF('원본_CardLimitBreak'!$B$2:$B$4,"&lt;="&amp;'원본_RankAiEncounter'!P86,'원본_CardLimitBreak'!$C$2:$C$4)</x:f>
        <x:v>18</x:v>
      </x:c>
      <x:c r="Q91" t="n">
        <x:f>SUM(K91:P91)</x:f>
        <x:v>94</x:v>
      </x:c>
    </x:row>
    <x:row r="92">
      <x:c r="A92" t="n">
        <x:f>'원본_RankAiEncounter'!B87</x:f>
        <x:v>14</x:v>
      </x:c>
      <x:c r="B92" t="str">
        <x:f>'원본_RankAiEncounter'!C87</x:f>
        <x:v>Normal</x:v>
      </x:c>
      <x:c r="C92" t="str">
        <x:f>'원본_RankAiEncounter'!D87</x:f>
        <x:v>deck_03</x:v>
      </x:c>
      <x:c r="D92" t="n">
        <x:f>MAX(1,VLOOKUP(C92,'원본_AIDeck'!$B$2:$N$47,5,FALSE))</x:f>
        <x:v>1</x:v>
      </x:c>
      <x:c r="E92" t="n">
        <x:f>VLOOKUP(C92,'원본_AIDeck'!$B$2:$N$47,8,FALSE)</x:f>
        <x:v>4</x:v>
      </x:c>
      <x:c r="F92" t="n">
        <x:f>VLOOKUP(C92,'원본_AIDeck'!$B$2:$N$47,9,FALSE)</x:f>
        <x:v>2</x:v>
      </x:c>
      <x:c r="G92" t="n">
        <x:f>VLOOKUP(C92,'원본_AIDeck'!$B$2:$N$47,10,FALSE)</x:f>
        <x:v>1</x:v>
      </x:c>
      <x:c r="H92" t="n">
        <x:f>VLOOKUP(C92,'원본_AIDeck'!$B$2:$N$47,11,FALSE)</x:f>
        <x:v>6</x:v>
      </x:c>
      <x:c r="I92" t="n">
        <x:f>VLOOKUP(C92,'원본_AIDeck'!$B$2:$N$47,12,FALSE)</x:f>
        <x:v>28</x:v>
      </x:c>
      <x:c r="J92" t="n">
        <x:f>VLOOKUP(C92,'원본_AIDeck'!$B$2:$N$47,13,FALSE)</x:f>
        <x:v>12</x:v>
      </x:c>
      <x:c r="K92" t="n">
        <x:f>VLOOKUP(E92,'카드성장'!$A$7:$G$46,'원본_RankAiEncounter'!E87+2,FALSE)+SUMIF('원본_CardLimitBreak'!$B$2:$B$4,"&lt;="&amp;'원본_RankAiEncounter'!K87,'원본_CardLimitBreak'!$C$2:$C$4)</x:f>
        <x:v>18</x:v>
      </x:c>
      <x:c r="L92" t="n">
        <x:f>VLOOKUP(F92,'카드성장'!$A$7:$G$46,'원본_RankAiEncounter'!F87+2,FALSE)+SUMIF('원본_CardLimitBreak'!$B$2:$B$4,"&lt;="&amp;'원본_RankAiEncounter'!L87,'원본_CardLimitBreak'!$C$2:$C$4)</x:f>
        <x:v>15</x:v>
      </x:c>
      <x:c r="M92" t="n">
        <x:f>VLOOKUP(G92,'카드성장'!$A$7:$G$46,'원본_RankAiEncounter'!G87+2,FALSE)+SUMIF('원본_CardLimitBreak'!$B$2:$B$4,"&lt;="&amp;'원본_RankAiEncounter'!M87,'원본_CardLimitBreak'!$C$2:$C$4)</x:f>
        <x:v>14</x:v>
      </x:c>
      <x:c r="N92" t="n">
        <x:f>VLOOKUP(H92,'카드성장'!$A$7:$G$46,'원본_RankAiEncounter'!H87+2,FALSE)+SUMIF('원본_CardLimitBreak'!$B$2:$B$4,"&lt;="&amp;'원본_RankAiEncounter'!N87,'원본_CardLimitBreak'!$C$2:$C$4)</x:f>
        <x:v>10</x:v>
      </x:c>
      <x:c r="O92" t="n">
        <x:f>VLOOKUP(I92,'카드성장'!$A$7:$G$46,'원본_RankAiEncounter'!I87+2,FALSE)+SUMIF('원본_CardLimitBreak'!$B$2:$B$4,"&lt;="&amp;'원본_RankAiEncounter'!O87,'원본_CardLimitBreak'!$C$2:$C$4)</x:f>
        <x:v>20</x:v>
      </x:c>
      <x:c r="P92" t="n">
        <x:f>VLOOKUP(J92,'카드성장'!$A$7:$G$46,'원본_RankAiEncounter'!J87+2,FALSE)+SUMIF('원본_CardLimitBreak'!$B$2:$B$4,"&lt;="&amp;'원본_RankAiEncounter'!P87,'원본_CardLimitBreak'!$C$2:$C$4)</x:f>
        <x:v>19</x:v>
      </x:c>
      <x:c r="Q92" t="n">
        <x:f>SUM(K92:P92)</x:f>
        <x:v>96</x:v>
      </x:c>
    </x:row>
    <x:row r="93">
      <x:c r="A93" t="n">
        <x:f>'원본_RankAiEncounter'!B88</x:f>
        <x:v>14</x:v>
      </x:c>
      <x:c r="B93" t="str">
        <x:f>'원본_RankAiEncounter'!C88</x:f>
        <x:v>Normal</x:v>
      </x:c>
      <x:c r="C93" t="str">
        <x:f>'원본_RankAiEncounter'!D88</x:f>
        <x:v>deck_04</x:v>
      </x:c>
      <x:c r="D93" t="n">
        <x:f>MAX(1,VLOOKUP(C93,'원본_AIDeck'!$B$2:$N$47,5,FALSE))</x:f>
        <x:v>1</x:v>
      </x:c>
      <x:c r="E93" t="n">
        <x:f>VLOOKUP(C93,'원본_AIDeck'!$B$2:$N$47,8,FALSE)</x:f>
        <x:v>4</x:v>
      </x:c>
      <x:c r="F93" t="n">
        <x:f>VLOOKUP(C93,'원본_AIDeck'!$B$2:$N$47,9,FALSE)</x:f>
        <x:v>2</x:v>
      </x:c>
      <x:c r="G93" t="n">
        <x:f>VLOOKUP(C93,'원본_AIDeck'!$B$2:$N$47,10,FALSE)</x:f>
        <x:v>32</x:v>
      </x:c>
      <x:c r="H93" t="n">
        <x:f>VLOOKUP(C93,'원본_AIDeck'!$B$2:$N$47,11,FALSE)</x:f>
        <x:v>27</x:v>
      </x:c>
      <x:c r="I93" t="n">
        <x:f>VLOOKUP(C93,'원본_AIDeck'!$B$2:$N$47,12,FALSE)</x:f>
        <x:v>6</x:v>
      </x:c>
      <x:c r="J93" t="n">
        <x:f>VLOOKUP(C93,'원본_AIDeck'!$B$2:$N$47,13,FALSE)</x:f>
        <x:v>38</x:v>
      </x:c>
      <x:c r="K93" t="n">
        <x:f>VLOOKUP(E93,'카드성장'!$A$7:$G$46,'원본_RankAiEncounter'!E88+2,FALSE)+SUMIF('원본_CardLimitBreak'!$B$2:$B$4,"&lt;="&amp;'원본_RankAiEncounter'!K88,'원본_CardLimitBreak'!$C$2:$C$4)</x:f>
        <x:v>18</x:v>
      </x:c>
      <x:c r="L93" t="n">
        <x:f>VLOOKUP(F93,'카드성장'!$A$7:$G$46,'원본_RankAiEncounter'!F88+2,FALSE)+SUMIF('원본_CardLimitBreak'!$B$2:$B$4,"&lt;="&amp;'원본_RankAiEncounter'!L88,'원본_CardLimitBreak'!$C$2:$C$4)</x:f>
        <x:v>15</x:v>
      </x:c>
      <x:c r="M93" t="n">
        <x:f>VLOOKUP(G93,'카드성장'!$A$7:$G$46,'원본_RankAiEncounter'!G88+2,FALSE)+SUMIF('원본_CardLimitBreak'!$B$2:$B$4,"&lt;="&amp;'원본_RankAiEncounter'!M88,'원본_CardLimitBreak'!$C$2:$C$4)</x:f>
        <x:v>17</x:v>
      </x:c>
      <x:c r="N93" t="n">
        <x:f>VLOOKUP(H93,'카드성장'!$A$7:$G$46,'원본_RankAiEncounter'!H88+2,FALSE)+SUMIF('원본_CardLimitBreak'!$B$2:$B$4,"&lt;="&amp;'원본_RankAiEncounter'!N88,'원본_CardLimitBreak'!$C$2:$C$4)</x:f>
        <x:v>7</x:v>
      </x:c>
      <x:c r="O93" t="n">
        <x:f>VLOOKUP(I93,'카드성장'!$A$7:$G$46,'원본_RankAiEncounter'!I88+2,FALSE)+SUMIF('원본_CardLimitBreak'!$B$2:$B$4,"&lt;="&amp;'원본_RankAiEncounter'!O88,'원본_CardLimitBreak'!$C$2:$C$4)</x:f>
        <x:v>20</x:v>
      </x:c>
      <x:c r="P93" t="n">
        <x:f>VLOOKUP(J93,'카드성장'!$A$7:$G$46,'원본_RankAiEncounter'!J88+2,FALSE)+SUMIF('원본_CardLimitBreak'!$B$2:$B$4,"&lt;="&amp;'원본_RankAiEncounter'!P88,'원본_CardLimitBreak'!$C$2:$C$4)</x:f>
        <x:v>19</x:v>
      </x:c>
      <x:c r="Q93" t="n">
        <x:f>SUM(K93:P93)</x:f>
        <x:v>96</x:v>
      </x:c>
    </x:row>
    <x:row r="94">
      <x:c r="A94" t="n">
        <x:f>'원본_RankAiEncounter'!B89</x:f>
        <x:v>14</x:v>
      </x:c>
      <x:c r="B94" t="str">
        <x:f>'원본_RankAiEncounter'!C89</x:f>
        <x:v>Normal</x:v>
      </x:c>
      <x:c r="C94" t="str">
        <x:f>'원본_RankAiEncounter'!D89</x:f>
        <x:v>deck_05</x:v>
      </x:c>
      <x:c r="D94" t="n">
        <x:f>MAX(1,VLOOKUP(C94,'원본_AIDeck'!$B$2:$N$47,5,FALSE))</x:f>
        <x:v>1</x:v>
      </x:c>
      <x:c r="E94" t="n">
        <x:f>VLOOKUP(C94,'원본_AIDeck'!$B$2:$N$47,8,FALSE)</x:f>
        <x:v>15</x:v>
      </x:c>
      <x:c r="F94" t="n">
        <x:f>VLOOKUP(C94,'원본_AIDeck'!$B$2:$N$47,9,FALSE)</x:f>
        <x:v>16</x:v>
      </x:c>
      <x:c r="G94" t="n">
        <x:f>VLOOKUP(C94,'원본_AIDeck'!$B$2:$N$47,10,FALSE)</x:f>
        <x:v>25</x:v>
      </x:c>
      <x:c r="H94" t="n">
        <x:f>VLOOKUP(C94,'원본_AIDeck'!$B$2:$N$47,11,FALSE)</x:f>
        <x:v>20</x:v>
      </x:c>
      <x:c r="I94" t="n">
        <x:f>VLOOKUP(C94,'원본_AIDeck'!$B$2:$N$47,12,FALSE)</x:f>
        <x:v>29</x:v>
      </x:c>
      <x:c r="J94" t="n">
        <x:f>VLOOKUP(C94,'원본_AIDeck'!$B$2:$N$47,13,FALSE)</x:f>
        <x:v>37</x:v>
      </x:c>
      <x:c r="K94" t="n">
        <x:f>VLOOKUP(E94,'카드성장'!$A$7:$G$46,'원본_RankAiEncounter'!E89+2,FALSE)+SUMIF('원본_CardLimitBreak'!$B$2:$B$4,"&lt;="&amp;'원본_RankAiEncounter'!K89,'원본_CardLimitBreak'!$C$2:$C$4)</x:f>
        <x:v>15</x:v>
      </x:c>
      <x:c r="L94" t="n">
        <x:f>VLOOKUP(F94,'카드성장'!$A$7:$G$46,'원본_RankAiEncounter'!F89+2,FALSE)+SUMIF('원본_CardLimitBreak'!$B$2:$B$4,"&lt;="&amp;'원본_RankAiEncounter'!L89,'원본_CardLimitBreak'!$C$2:$C$4)</x:f>
        <x:v>14</x:v>
      </x:c>
      <x:c r="M94" t="n">
        <x:f>VLOOKUP(G94,'카드성장'!$A$7:$G$46,'원본_RankAiEncounter'!G89+2,FALSE)+SUMIF('원본_CardLimitBreak'!$B$2:$B$4,"&lt;="&amp;'원본_RankAiEncounter'!M89,'원본_CardLimitBreak'!$C$2:$C$4)</x:f>
        <x:v>18</x:v>
      </x:c>
      <x:c r="N94" t="n">
        <x:f>VLOOKUP(H94,'카드성장'!$A$7:$G$46,'원본_RankAiEncounter'!H89+2,FALSE)+SUMIF('원본_CardLimitBreak'!$B$2:$B$4,"&lt;="&amp;'원본_RankAiEncounter'!N89,'원본_CardLimitBreak'!$C$2:$C$4)</x:f>
        <x:v>8</x:v>
      </x:c>
      <x:c r="O94" t="n">
        <x:f>VLOOKUP(I94,'카드성장'!$A$7:$G$46,'원본_RankAiEncounter'!I89+2,FALSE)+SUMIF('원본_CardLimitBreak'!$B$2:$B$4,"&lt;="&amp;'원본_RankAiEncounter'!O89,'원본_CardLimitBreak'!$C$2:$C$4)</x:f>
        <x:v>17</x:v>
      </x:c>
      <x:c r="P94" t="n">
        <x:f>VLOOKUP(J94,'카드성장'!$A$7:$G$46,'원본_RankAiEncounter'!J89+2,FALSE)+SUMIF('원본_CardLimitBreak'!$B$2:$B$4,"&lt;="&amp;'원본_RankAiEncounter'!P89,'원본_CardLimitBreak'!$C$2:$C$4)</x:f>
        <x:v>17</x:v>
      </x:c>
      <x:c r="Q94" t="n">
        <x:f>SUM(K94:P94)</x:f>
        <x:v>89</x:v>
      </x:c>
    </x:row>
    <x:row r="95">
      <x:c r="A95" t="n">
        <x:f>'원본_RankAiEncounter'!B90</x:f>
        <x:v>14</x:v>
      </x:c>
      <x:c r="B95" t="str">
        <x:f>'원본_RankAiEncounter'!C90</x:f>
        <x:v>Normal</x:v>
      </x:c>
      <x:c r="C95" t="str">
        <x:f>'원본_RankAiEncounter'!D90</x:f>
        <x:v>deck_06</x:v>
      </x:c>
      <x:c r="D95" t="n">
        <x:f>MAX(1,VLOOKUP(C95,'원본_AIDeck'!$B$2:$N$47,5,FALSE))</x:f>
        <x:v>1</x:v>
      </x:c>
      <x:c r="E95" t="n">
        <x:f>VLOOKUP(C95,'원본_AIDeck'!$B$2:$N$47,8,FALSE)</x:f>
        <x:v>15</x:v>
      </x:c>
      <x:c r="F95" t="n">
        <x:f>VLOOKUP(C95,'원본_AIDeck'!$B$2:$N$47,9,FALSE)</x:f>
        <x:v>16</x:v>
      </x:c>
      <x:c r="G95" t="n">
        <x:f>VLOOKUP(C95,'원본_AIDeck'!$B$2:$N$47,10,FALSE)</x:f>
        <x:v>25</x:v>
      </x:c>
      <x:c r="H95" t="n">
        <x:f>VLOOKUP(C95,'원본_AIDeck'!$B$2:$N$47,11,FALSE)</x:f>
        <x:v>20</x:v>
      </x:c>
      <x:c r="I95" t="n">
        <x:f>VLOOKUP(C95,'원본_AIDeck'!$B$2:$N$47,12,FALSE)</x:f>
        <x:v>6</x:v>
      </x:c>
      <x:c r="J95" t="n">
        <x:f>VLOOKUP(C95,'원본_AIDeck'!$B$2:$N$47,13,FALSE)</x:f>
        <x:v>38</x:v>
      </x:c>
      <x:c r="K95" t="n">
        <x:f>VLOOKUP(E95,'카드성장'!$A$7:$G$46,'원본_RankAiEncounter'!E90+2,FALSE)+SUMIF('원본_CardLimitBreak'!$B$2:$B$4,"&lt;="&amp;'원본_RankAiEncounter'!K90,'원본_CardLimitBreak'!$C$2:$C$4)</x:f>
        <x:v>15</x:v>
      </x:c>
      <x:c r="L95" t="n">
        <x:f>VLOOKUP(F95,'카드성장'!$A$7:$G$46,'원본_RankAiEncounter'!F90+2,FALSE)+SUMIF('원본_CardLimitBreak'!$B$2:$B$4,"&lt;="&amp;'원본_RankAiEncounter'!L90,'원본_CardLimitBreak'!$C$2:$C$4)</x:f>
        <x:v>14</x:v>
      </x:c>
      <x:c r="M95" t="n">
        <x:f>VLOOKUP(G95,'카드성장'!$A$7:$G$46,'원본_RankAiEncounter'!G90+2,FALSE)+SUMIF('원본_CardLimitBreak'!$B$2:$B$4,"&lt;="&amp;'원본_RankAiEncounter'!M90,'원본_CardLimitBreak'!$C$2:$C$4)</x:f>
        <x:v>18</x:v>
      </x:c>
      <x:c r="N95" t="n">
        <x:f>VLOOKUP(H95,'카드성장'!$A$7:$G$46,'원본_RankAiEncounter'!H90+2,FALSE)+SUMIF('원본_CardLimitBreak'!$B$2:$B$4,"&lt;="&amp;'원본_RankAiEncounter'!N90,'원본_CardLimitBreak'!$C$2:$C$4)</x:f>
        <x:v>8</x:v>
      </x:c>
      <x:c r="O95" t="n">
        <x:f>VLOOKUP(I95,'카드성장'!$A$7:$G$46,'원본_RankAiEncounter'!I90+2,FALSE)+SUMIF('원본_CardLimitBreak'!$B$2:$B$4,"&lt;="&amp;'원본_RankAiEncounter'!O90,'원본_CardLimitBreak'!$C$2:$C$4)</x:f>
        <x:v>20</x:v>
      </x:c>
      <x:c r="P95" t="n">
        <x:f>VLOOKUP(J95,'카드성장'!$A$7:$G$46,'원본_RankAiEncounter'!J90+2,FALSE)+SUMIF('원본_CardLimitBreak'!$B$2:$B$4,"&lt;="&amp;'원본_RankAiEncounter'!P90,'원본_CardLimitBreak'!$C$2:$C$4)</x:f>
        <x:v>19</x:v>
      </x:c>
      <x:c r="Q95" t="n">
        <x:f>SUM(K95:P95)</x:f>
        <x:v>94</x:v>
      </x:c>
    </x:row>
    <x:row r="96">
      <x:c r="A96" t="n">
        <x:f>'원본_RankAiEncounter'!B91</x:f>
        <x:v>14</x:v>
      </x:c>
      <x:c r="B96" t="str">
        <x:f>'원본_RankAiEncounter'!C91</x:f>
        <x:v>Normal</x:v>
      </x:c>
      <x:c r="C96" t="str">
        <x:f>'원본_RankAiEncounter'!D91</x:f>
        <x:v>deck_07</x:v>
      </x:c>
      <x:c r="D96" t="n">
        <x:f>MAX(1,VLOOKUP(C96,'원본_AIDeck'!$B$2:$N$47,5,FALSE))</x:f>
        <x:v>1</x:v>
      </x:c>
      <x:c r="E96" t="n">
        <x:f>VLOOKUP(C96,'원본_AIDeck'!$B$2:$N$47,8,FALSE)</x:f>
        <x:v>8</x:v>
      </x:c>
      <x:c r="F96" t="n">
        <x:f>VLOOKUP(C96,'원본_AIDeck'!$B$2:$N$47,9,FALSE)</x:f>
        <x:v>9</x:v>
      </x:c>
      <x:c r="G96" t="n">
        <x:f>VLOOKUP(C96,'원본_AIDeck'!$B$2:$N$47,10,FALSE)</x:f>
        <x:v>10</x:v>
      </x:c>
      <x:c r="H96" t="n">
        <x:f>VLOOKUP(C96,'원본_AIDeck'!$B$2:$N$47,11,FALSE)</x:f>
        <x:v>20</x:v>
      </x:c>
      <x:c r="I96" t="n">
        <x:f>VLOOKUP(C96,'원본_AIDeck'!$B$2:$N$47,12,FALSE)</x:f>
        <x:v>6</x:v>
      </x:c>
      <x:c r="J96" t="n">
        <x:f>VLOOKUP(C96,'원본_AIDeck'!$B$2:$N$47,13,FALSE)</x:f>
        <x:v>27</x:v>
      </x:c>
      <x:c r="K96" t="n">
        <x:f>VLOOKUP(E96,'카드성장'!$A$7:$G$46,'원본_RankAiEncounter'!E91+2,FALSE)+SUMIF('원본_CardLimitBreak'!$B$2:$B$4,"&lt;="&amp;'원본_RankAiEncounter'!K91,'원본_CardLimitBreak'!$C$2:$C$4)</x:f>
        <x:v>18</x:v>
      </x:c>
      <x:c r="L96" t="n">
        <x:f>VLOOKUP(F96,'카드성장'!$A$7:$G$46,'원본_RankAiEncounter'!F91+2,FALSE)+SUMIF('원본_CardLimitBreak'!$B$2:$B$4,"&lt;="&amp;'원본_RankAiEncounter'!L91,'원본_CardLimitBreak'!$C$2:$C$4)</x:f>
        <x:v>15</x:v>
      </x:c>
      <x:c r="M96" t="n">
        <x:f>VLOOKUP(G96,'카드성장'!$A$7:$G$46,'원본_RankAiEncounter'!G91+2,FALSE)+SUMIF('원본_CardLimitBreak'!$B$2:$B$4,"&lt;="&amp;'원본_RankAiEncounter'!M91,'원본_CardLimitBreak'!$C$2:$C$4)</x:f>
        <x:v>18</x:v>
      </x:c>
      <x:c r="N96" t="n">
        <x:f>VLOOKUP(H96,'카드성장'!$A$7:$G$46,'원본_RankAiEncounter'!H91+2,FALSE)+SUMIF('원본_CardLimitBreak'!$B$2:$B$4,"&lt;="&amp;'원본_RankAiEncounter'!N91,'원본_CardLimitBreak'!$C$2:$C$4)</x:f>
        <x:v>18</x:v>
      </x:c>
      <x:c r="O96" t="n">
        <x:f>VLOOKUP(I96,'카드성장'!$A$7:$G$46,'원본_RankAiEncounter'!I91+2,FALSE)+SUMIF('원본_CardLimitBreak'!$B$2:$B$4,"&lt;="&amp;'원본_RankAiEncounter'!O91,'원본_CardLimitBreak'!$C$2:$C$4)</x:f>
        <x:v>10</x:v>
      </x:c>
      <x:c r="P96" t="n">
        <x:f>VLOOKUP(J96,'카드성장'!$A$7:$G$46,'원본_RankAiEncounter'!J91+2,FALSE)+SUMIF('원본_CardLimitBreak'!$B$2:$B$4,"&lt;="&amp;'원본_RankAiEncounter'!P91,'원본_CardLimitBreak'!$C$2:$C$4)</x:f>
        <x:v>15</x:v>
      </x:c>
      <x:c r="Q96" t="n">
        <x:f>SUM(K96:P96)</x:f>
        <x:v>94</x:v>
      </x:c>
    </x:row>
    <x:row r="97">
      <x:c r="A97" t="n">
        <x:f>'원본_RankAiEncounter'!B92</x:f>
        <x:v>14</x:v>
      </x:c>
      <x:c r="B97" t="str">
        <x:f>'원본_RankAiEncounter'!C92</x:f>
        <x:v>Normal</x:v>
      </x:c>
      <x:c r="C97" t="str">
        <x:f>'원본_RankAiEncounter'!D92</x:f>
        <x:v>deck_08</x:v>
      </x:c>
      <x:c r="D97" t="n">
        <x:f>MAX(1,VLOOKUP(C97,'원본_AIDeck'!$B$2:$N$47,5,FALSE))</x:f>
        <x:v>1</x:v>
      </x:c>
      <x:c r="E97" t="n">
        <x:f>VLOOKUP(C97,'원본_AIDeck'!$B$2:$N$47,8,FALSE)</x:f>
        <x:v>5</x:v>
      </x:c>
      <x:c r="F97" t="n">
        <x:f>VLOOKUP(C97,'원본_AIDeck'!$B$2:$N$47,9,FALSE)</x:f>
        <x:v>6</x:v>
      </x:c>
      <x:c r="G97" t="n">
        <x:f>VLOOKUP(C97,'원본_AIDeck'!$B$2:$N$47,10,FALSE)</x:f>
        <x:v>33</x:v>
      </x:c>
      <x:c r="H97" t="n">
        <x:f>VLOOKUP(C97,'원본_AIDeck'!$B$2:$N$47,11,FALSE)</x:f>
        <x:v>28</x:v>
      </x:c>
      <x:c r="I97" t="n">
        <x:f>VLOOKUP(C97,'원본_AIDeck'!$B$2:$N$47,12,FALSE)</x:f>
        <x:v>12</x:v>
      </x:c>
      <x:c r="J97" t="n">
        <x:f>VLOOKUP(C97,'원본_AIDeck'!$B$2:$N$47,13,FALSE)</x:f>
        <x:v>10</x:v>
      </x:c>
      <x:c r="K97" t="n">
        <x:f>VLOOKUP(E97,'카드성장'!$A$7:$G$46,'원본_RankAiEncounter'!E92+2,FALSE)+SUMIF('원본_CardLimitBreak'!$B$2:$B$4,"&lt;="&amp;'원본_RankAiEncounter'!K92,'원본_CardLimitBreak'!$C$2:$C$4)</x:f>
        <x:v>20</x:v>
      </x:c>
      <x:c r="L97" t="n">
        <x:f>VLOOKUP(F97,'카드성장'!$A$7:$G$46,'원본_RankAiEncounter'!F92+2,FALSE)+SUMIF('원본_CardLimitBreak'!$B$2:$B$4,"&lt;="&amp;'원본_RankAiEncounter'!L92,'원본_CardLimitBreak'!$C$2:$C$4)</x:f>
        <x:v>10</x:v>
      </x:c>
      <x:c r="M97" t="n">
        <x:f>VLOOKUP(G97,'카드성장'!$A$7:$G$46,'원본_RankAiEncounter'!G92+2,FALSE)+SUMIF('원본_CardLimitBreak'!$B$2:$B$4,"&lt;="&amp;'원본_RankAiEncounter'!M92,'원본_CardLimitBreak'!$C$2:$C$4)</x:f>
        <x:v>16</x:v>
      </x:c>
      <x:c r="N97" t="n">
        <x:f>VLOOKUP(H97,'카드성장'!$A$7:$G$46,'원본_RankAiEncounter'!H92+2,FALSE)+SUMIF('원본_CardLimitBreak'!$B$2:$B$4,"&lt;="&amp;'원본_RankAiEncounter'!N92,'원본_CardLimitBreak'!$C$2:$C$4)</x:f>
        <x:v>20</x:v>
      </x:c>
      <x:c r="O97" t="n">
        <x:f>VLOOKUP(I97,'카드성장'!$A$7:$G$46,'원본_RankAiEncounter'!I92+2,FALSE)+SUMIF('원본_CardLimitBreak'!$B$2:$B$4,"&lt;="&amp;'원본_RankAiEncounter'!O92,'원본_CardLimitBreak'!$C$2:$C$4)</x:f>
        <x:v>19</x:v>
      </x:c>
      <x:c r="P97" t="n">
        <x:f>VLOOKUP(J97,'카드성장'!$A$7:$G$46,'원본_RankAiEncounter'!J92+2,FALSE)+SUMIF('원본_CardLimitBreak'!$B$2:$B$4,"&lt;="&amp;'원본_RankAiEncounter'!P92,'원본_CardLimitBreak'!$C$2:$C$4)</x:f>
        <x:v>18</x:v>
      </x:c>
      <x:c r="Q97" t="n">
        <x:f>SUM(K97:P97)</x:f>
        <x:v>103</x:v>
      </x:c>
    </x:row>
    <x:row r="98">
      <x:c r="A98" t="n">
        <x:f>'원본_RankAiEncounter'!B93</x:f>
        <x:v>15</x:v>
      </x:c>
      <x:c r="B98" t="str">
        <x:f>'원본_RankAiEncounter'!C93</x:f>
        <x:v>Normal</x:v>
      </x:c>
      <x:c r="C98" t="str">
        <x:f>'원본_RankAiEncounter'!D93</x:f>
        <x:v>deck_01</x:v>
      </x:c>
      <x:c r="D98" t="n">
        <x:f>MAX(1,VLOOKUP(C98,'원본_AIDeck'!$B$2:$N$47,5,FALSE))</x:f>
        <x:v>1</x:v>
      </x:c>
      <x:c r="E98" t="n">
        <x:f>VLOOKUP(C98,'원본_AIDeck'!$B$2:$N$47,8,FALSE)</x:f>
        <x:v>20</x:v>
      </x:c>
      <x:c r="F98" t="n">
        <x:f>VLOOKUP(C98,'원본_AIDeck'!$B$2:$N$47,9,FALSE)</x:f>
        <x:v>18</x:v>
      </x:c>
      <x:c r="G98" t="n">
        <x:f>VLOOKUP(C98,'원본_AIDeck'!$B$2:$N$47,10,FALSE)</x:f>
        <x:v>19</x:v>
      </x:c>
      <x:c r="H98" t="n">
        <x:f>VLOOKUP(C98,'원본_AIDeck'!$B$2:$N$47,11,FALSE)</x:f>
        <x:v>6</x:v>
      </x:c>
      <x:c r="I98" t="n">
        <x:f>VLOOKUP(C98,'원본_AIDeck'!$B$2:$N$47,12,FALSE)</x:f>
        <x:v>13</x:v>
      </x:c>
      <x:c r="J98" t="n">
        <x:f>VLOOKUP(C98,'원본_AIDeck'!$B$2:$N$47,13,FALSE)</x:f>
        <x:v>14</x:v>
      </x:c>
      <x:c r="K98" t="n">
        <x:f>VLOOKUP(E98,'카드성장'!$A$7:$G$46,'원본_RankAiEncounter'!E93+2,FALSE)+SUMIF('원본_CardLimitBreak'!$B$2:$B$4,"&lt;="&amp;'원본_RankAiEncounter'!K93,'원본_CardLimitBreak'!$C$2:$C$4)</x:f>
        <x:v>18</x:v>
      </x:c>
      <x:c r="L98" t="n">
        <x:f>VLOOKUP(F98,'카드성장'!$A$7:$G$46,'원본_RankAiEncounter'!F93+2,FALSE)+SUMIF('원본_CardLimitBreak'!$B$2:$B$4,"&lt;="&amp;'원본_RankAiEncounter'!L93,'원본_CardLimitBreak'!$C$2:$C$4)</x:f>
        <x:v>14</x:v>
      </x:c>
      <x:c r="M98" t="n">
        <x:f>VLOOKUP(G98,'카드성장'!$A$7:$G$46,'원본_RankAiEncounter'!G93+2,FALSE)+SUMIF('원본_CardLimitBreak'!$B$2:$B$4,"&lt;="&amp;'원본_RankAiEncounter'!M93,'원본_CardLimitBreak'!$C$2:$C$4)</x:f>
        <x:v>18</x:v>
      </x:c>
      <x:c r="N98" t="n">
        <x:f>VLOOKUP(H98,'카드성장'!$A$7:$G$46,'원본_RankAiEncounter'!H93+2,FALSE)+SUMIF('원본_CardLimitBreak'!$B$2:$B$4,"&lt;="&amp;'원본_RankAiEncounter'!N93,'원본_CardLimitBreak'!$C$2:$C$4)</x:f>
        <x:v>20</x:v>
      </x:c>
      <x:c r="O98" t="n">
        <x:f>VLOOKUP(I98,'카드성장'!$A$7:$G$46,'원본_RankAiEncounter'!I93+2,FALSE)+SUMIF('원본_CardLimitBreak'!$B$2:$B$4,"&lt;="&amp;'원본_RankAiEncounter'!O93,'원본_CardLimitBreak'!$C$2:$C$4)</x:f>
        <x:v>17</x:v>
      </x:c>
      <x:c r="P98" t="n">
        <x:f>VLOOKUP(J98,'카드성장'!$A$7:$G$46,'원본_RankAiEncounter'!J93+2,FALSE)+SUMIF('원본_CardLimitBreak'!$B$2:$B$4,"&lt;="&amp;'원본_RankAiEncounter'!P93,'원본_CardLimitBreak'!$C$2:$C$4)</x:f>
        <x:v>19</x:v>
      </x:c>
      <x:c r="Q98" t="n">
        <x:f>SUM(K98:P98)</x:f>
        <x:v>106</x:v>
      </x:c>
    </x:row>
    <x:row r="99">
      <x:c r="A99" t="n">
        <x:f>'원본_RankAiEncounter'!B94</x:f>
        <x:v>15</x:v>
      </x:c>
      <x:c r="B99" t="str">
        <x:f>'원본_RankAiEncounter'!C94</x:f>
        <x:v>Normal</x:v>
      </x:c>
      <x:c r="C99" t="str">
        <x:f>'원본_RankAiEncounter'!D94</x:f>
        <x:v>deck_02</x:v>
      </x:c>
      <x:c r="D99" t="n">
        <x:f>MAX(1,VLOOKUP(C99,'원본_AIDeck'!$B$2:$N$47,5,FALSE))</x:f>
        <x:v>1</x:v>
      </x:c>
      <x:c r="E99" t="n">
        <x:f>VLOOKUP(C99,'원본_AIDeck'!$B$2:$N$47,8,FALSE)</x:f>
        <x:v>20</x:v>
      </x:c>
      <x:c r="F99" t="n">
        <x:f>VLOOKUP(C99,'원본_AIDeck'!$B$2:$N$47,9,FALSE)</x:f>
        <x:v>18</x:v>
      </x:c>
      <x:c r="G99" t="n">
        <x:f>VLOOKUP(C99,'원본_AIDeck'!$B$2:$N$47,10,FALSE)</x:f>
        <x:v>19</x:v>
      </x:c>
      <x:c r="H99" t="n">
        <x:f>VLOOKUP(C99,'원본_AIDeck'!$B$2:$N$47,11,FALSE)</x:f>
        <x:v>4</x:v>
      </x:c>
      <x:c r="I99" t="n">
        <x:f>VLOOKUP(C99,'원본_AIDeck'!$B$2:$N$47,12,FALSE)</x:f>
        <x:v>37</x:v>
      </x:c>
      <x:c r="J99" t="n">
        <x:f>VLOOKUP(C99,'원본_AIDeck'!$B$2:$N$47,13,FALSE)</x:f>
        <x:v>31</x:v>
      </x:c>
      <x:c r="K99" t="n">
        <x:f>VLOOKUP(E99,'카드성장'!$A$7:$G$46,'원본_RankAiEncounter'!E94+2,FALSE)+SUMIF('원본_CardLimitBreak'!$B$2:$B$4,"&lt;="&amp;'원본_RankAiEncounter'!K94,'원본_CardLimitBreak'!$C$2:$C$4)</x:f>
        <x:v>18</x:v>
      </x:c>
      <x:c r="L99" t="n">
        <x:f>VLOOKUP(F99,'카드성장'!$A$7:$G$46,'원본_RankAiEncounter'!F94+2,FALSE)+SUMIF('원본_CardLimitBreak'!$B$2:$B$4,"&lt;="&amp;'원본_RankAiEncounter'!L94,'원본_CardLimitBreak'!$C$2:$C$4)</x:f>
        <x:v>14</x:v>
      </x:c>
      <x:c r="M99" t="n">
        <x:f>VLOOKUP(G99,'카드성장'!$A$7:$G$46,'원본_RankAiEncounter'!G94+2,FALSE)+SUMIF('원본_CardLimitBreak'!$B$2:$B$4,"&lt;="&amp;'원본_RankAiEncounter'!M94,'원본_CardLimitBreak'!$C$2:$C$4)</x:f>
        <x:v>18</x:v>
      </x:c>
      <x:c r="N99" t="n">
        <x:f>VLOOKUP(H99,'카드성장'!$A$7:$G$46,'원본_RankAiEncounter'!H94+2,FALSE)+SUMIF('원본_CardLimitBreak'!$B$2:$B$4,"&lt;="&amp;'원본_RankAiEncounter'!N94,'원본_CardLimitBreak'!$C$2:$C$4)</x:f>
        <x:v>18</x:v>
      </x:c>
      <x:c r="O99" t="n">
        <x:f>VLOOKUP(I99,'카드성장'!$A$7:$G$46,'원본_RankAiEncounter'!I94+2,FALSE)+SUMIF('원본_CardLimitBreak'!$B$2:$B$4,"&lt;="&amp;'원본_RankAiEncounter'!O94,'원본_CardLimitBreak'!$C$2:$C$4)</x:f>
        <x:v>19</x:v>
      </x:c>
      <x:c r="P99" t="n">
        <x:f>VLOOKUP(J99,'카드성장'!$A$7:$G$46,'원본_RankAiEncounter'!J94+2,FALSE)+SUMIF('원본_CardLimitBreak'!$B$2:$B$4,"&lt;="&amp;'원본_RankAiEncounter'!P94,'원본_CardLimitBreak'!$C$2:$C$4)</x:f>
        <x:v>18</x:v>
      </x:c>
      <x:c r="Q99" t="n">
        <x:f>SUM(K99:P99)</x:f>
        <x:v>105</x:v>
      </x:c>
    </x:row>
    <x:row r="100">
      <x:c r="A100" t="n">
        <x:f>'원본_RankAiEncounter'!B95</x:f>
        <x:v>15</x:v>
      </x:c>
      <x:c r="B100" t="str">
        <x:f>'원본_RankAiEncounter'!C95</x:f>
        <x:v>Normal</x:v>
      </x:c>
      <x:c r="C100" t="str">
        <x:f>'원본_RankAiEncounter'!D95</x:f>
        <x:v>deck_03</x:v>
      </x:c>
      <x:c r="D100" t="n">
        <x:f>MAX(1,VLOOKUP(C100,'원본_AIDeck'!$B$2:$N$47,5,FALSE))</x:f>
        <x:v>1</x:v>
      </x:c>
      <x:c r="E100" t="n">
        <x:f>VLOOKUP(C100,'원본_AIDeck'!$B$2:$N$47,8,FALSE)</x:f>
        <x:v>4</x:v>
      </x:c>
      <x:c r="F100" t="n">
        <x:f>VLOOKUP(C100,'원본_AIDeck'!$B$2:$N$47,9,FALSE)</x:f>
        <x:v>2</x:v>
      </x:c>
      <x:c r="G100" t="n">
        <x:f>VLOOKUP(C100,'원본_AIDeck'!$B$2:$N$47,10,FALSE)</x:f>
        <x:v>1</x:v>
      </x:c>
      <x:c r="H100" t="n">
        <x:f>VLOOKUP(C100,'원본_AIDeck'!$B$2:$N$47,11,FALSE)</x:f>
        <x:v>6</x:v>
      </x:c>
      <x:c r="I100" t="n">
        <x:f>VLOOKUP(C100,'원본_AIDeck'!$B$2:$N$47,12,FALSE)</x:f>
        <x:v>28</x:v>
      </x:c>
      <x:c r="J100" t="n">
        <x:f>VLOOKUP(C100,'원본_AIDeck'!$B$2:$N$47,13,FALSE)</x:f>
        <x:v>12</x:v>
      </x:c>
      <x:c r="K100" t="n">
        <x:f>VLOOKUP(E100,'카드성장'!$A$7:$G$46,'원본_RankAiEncounter'!E95+2,FALSE)+SUMIF('원본_CardLimitBreak'!$B$2:$B$4,"&lt;="&amp;'원본_RankAiEncounter'!K95,'원본_CardLimitBreak'!$C$2:$C$4)</x:f>
        <x:v>18</x:v>
      </x:c>
      <x:c r="L100" t="n">
        <x:f>VLOOKUP(F100,'카드성장'!$A$7:$G$46,'원본_RankAiEncounter'!F95+2,FALSE)+SUMIF('원본_CardLimitBreak'!$B$2:$B$4,"&lt;="&amp;'원본_RankAiEncounter'!L95,'원본_CardLimitBreak'!$C$2:$C$4)</x:f>
        <x:v>16</x:v>
      </x:c>
      <x:c r="M100" t="n">
        <x:f>VLOOKUP(G100,'카드성장'!$A$7:$G$46,'원본_RankAiEncounter'!G95+2,FALSE)+SUMIF('원본_CardLimitBreak'!$B$2:$B$4,"&lt;="&amp;'원본_RankAiEncounter'!M95,'원본_CardLimitBreak'!$C$2:$C$4)</x:f>
        <x:v>14</x:v>
      </x:c>
      <x:c r="N100" t="n">
        <x:f>VLOOKUP(H100,'카드성장'!$A$7:$G$46,'원본_RankAiEncounter'!H95+2,FALSE)+SUMIF('원본_CardLimitBreak'!$B$2:$B$4,"&lt;="&amp;'원본_RankAiEncounter'!N95,'원본_CardLimitBreak'!$C$2:$C$4)</x:f>
        <x:v>20</x:v>
      </x:c>
      <x:c r="O100" t="n">
        <x:f>VLOOKUP(I100,'카드성장'!$A$7:$G$46,'원본_RankAiEncounter'!I95+2,FALSE)+SUMIF('원본_CardLimitBreak'!$B$2:$B$4,"&lt;="&amp;'원본_RankAiEncounter'!O95,'원본_CardLimitBreak'!$C$2:$C$4)</x:f>
        <x:v>20</x:v>
      </x:c>
      <x:c r="P100" t="n">
        <x:f>VLOOKUP(J100,'카드성장'!$A$7:$G$46,'원본_RankAiEncounter'!J95+2,FALSE)+SUMIF('원본_CardLimitBreak'!$B$2:$B$4,"&lt;="&amp;'원본_RankAiEncounter'!P95,'원본_CardLimitBreak'!$C$2:$C$4)</x:f>
        <x:v>20</x:v>
      </x:c>
      <x:c r="Q100" t="n">
        <x:f>SUM(K100:P100)</x:f>
        <x:v>108</x:v>
      </x:c>
    </x:row>
    <x:row r="101">
      <x:c r="A101" t="n">
        <x:f>'원본_RankAiEncounter'!B96</x:f>
        <x:v>15</x:v>
      </x:c>
      <x:c r="B101" t="str">
        <x:f>'원본_RankAiEncounter'!C96</x:f>
        <x:v>Normal</x:v>
      </x:c>
      <x:c r="C101" t="str">
        <x:f>'원본_RankAiEncounter'!D96</x:f>
        <x:v>deck_04</x:v>
      </x:c>
      <x:c r="D101" t="n">
        <x:f>MAX(1,VLOOKUP(C101,'원본_AIDeck'!$B$2:$N$47,5,FALSE))</x:f>
        <x:v>1</x:v>
      </x:c>
      <x:c r="E101" t="n">
        <x:f>VLOOKUP(C101,'원본_AIDeck'!$B$2:$N$47,8,FALSE)</x:f>
        <x:v>4</x:v>
      </x:c>
      <x:c r="F101" t="n">
        <x:f>VLOOKUP(C101,'원본_AIDeck'!$B$2:$N$47,9,FALSE)</x:f>
        <x:v>2</x:v>
      </x:c>
      <x:c r="G101" t="n">
        <x:f>VLOOKUP(C101,'원본_AIDeck'!$B$2:$N$47,10,FALSE)</x:f>
        <x:v>32</x:v>
      </x:c>
      <x:c r="H101" t="n">
        <x:f>VLOOKUP(C101,'원본_AIDeck'!$B$2:$N$47,11,FALSE)</x:f>
        <x:v>27</x:v>
      </x:c>
      <x:c r="I101" t="n">
        <x:f>VLOOKUP(C101,'원본_AIDeck'!$B$2:$N$47,12,FALSE)</x:f>
        <x:v>6</x:v>
      </x:c>
      <x:c r="J101" t="n">
        <x:f>VLOOKUP(C101,'원본_AIDeck'!$B$2:$N$47,13,FALSE)</x:f>
        <x:v>38</x:v>
      </x:c>
      <x:c r="K101" t="n">
        <x:f>VLOOKUP(E101,'카드성장'!$A$7:$G$46,'원본_RankAiEncounter'!E96+2,FALSE)+SUMIF('원본_CardLimitBreak'!$B$2:$B$4,"&lt;="&amp;'원본_RankAiEncounter'!K96,'원본_CardLimitBreak'!$C$2:$C$4)</x:f>
        <x:v>18</x:v>
      </x:c>
      <x:c r="L101" t="n">
        <x:f>VLOOKUP(F101,'카드성장'!$A$7:$G$46,'원본_RankAiEncounter'!F96+2,FALSE)+SUMIF('원본_CardLimitBreak'!$B$2:$B$4,"&lt;="&amp;'원본_RankAiEncounter'!L96,'원본_CardLimitBreak'!$C$2:$C$4)</x:f>
        <x:v>16</x:v>
      </x:c>
      <x:c r="M101" t="n">
        <x:f>VLOOKUP(G101,'카드성장'!$A$7:$G$46,'원본_RankAiEncounter'!G96+2,FALSE)+SUMIF('원본_CardLimitBreak'!$B$2:$B$4,"&lt;="&amp;'원본_RankAiEncounter'!M96,'원본_CardLimitBreak'!$C$2:$C$4)</x:f>
        <x:v>17</x:v>
      </x:c>
      <x:c r="N101" t="n">
        <x:f>VLOOKUP(H101,'카드성장'!$A$7:$G$46,'원본_RankAiEncounter'!H96+2,FALSE)+SUMIF('원본_CardLimitBreak'!$B$2:$B$4,"&lt;="&amp;'원본_RankAiEncounter'!N96,'원본_CardLimitBreak'!$C$2:$C$4)</x:f>
        <x:v>15</x:v>
      </x:c>
      <x:c r="O101" t="n">
        <x:f>VLOOKUP(I101,'카드성장'!$A$7:$G$46,'원본_RankAiEncounter'!I96+2,FALSE)+SUMIF('원본_CardLimitBreak'!$B$2:$B$4,"&lt;="&amp;'원본_RankAiEncounter'!O96,'원본_CardLimitBreak'!$C$2:$C$4)</x:f>
        <x:v>20</x:v>
      </x:c>
      <x:c r="P101" t="n">
        <x:f>VLOOKUP(J101,'카드성장'!$A$7:$G$46,'원본_RankAiEncounter'!J96+2,FALSE)+SUMIF('원본_CardLimitBreak'!$B$2:$B$4,"&lt;="&amp;'원본_RankAiEncounter'!P96,'원본_CardLimitBreak'!$C$2:$C$4)</x:f>
        <x:v>20</x:v>
      </x:c>
      <x:c r="Q101" t="n">
        <x:f>SUM(K101:P101)</x:f>
        <x:v>106</x:v>
      </x:c>
    </x:row>
    <x:row r="102">
      <x:c r="A102" t="n">
        <x:f>'원본_RankAiEncounter'!B97</x:f>
        <x:v>15</x:v>
      </x:c>
      <x:c r="B102" t="str">
        <x:f>'원본_RankAiEncounter'!C97</x:f>
        <x:v>Normal</x:v>
      </x:c>
      <x:c r="C102" t="str">
        <x:f>'원본_RankAiEncounter'!D97</x:f>
        <x:v>deck_05</x:v>
      </x:c>
      <x:c r="D102" t="n">
        <x:f>MAX(1,VLOOKUP(C102,'원본_AIDeck'!$B$2:$N$47,5,FALSE))</x:f>
        <x:v>1</x:v>
      </x:c>
      <x:c r="E102" t="n">
        <x:f>VLOOKUP(C102,'원본_AIDeck'!$B$2:$N$47,8,FALSE)</x:f>
        <x:v>15</x:v>
      </x:c>
      <x:c r="F102" t="n">
        <x:f>VLOOKUP(C102,'원본_AIDeck'!$B$2:$N$47,9,FALSE)</x:f>
        <x:v>16</x:v>
      </x:c>
      <x:c r="G102" t="n">
        <x:f>VLOOKUP(C102,'원본_AIDeck'!$B$2:$N$47,10,FALSE)</x:f>
        <x:v>25</x:v>
      </x:c>
      <x:c r="H102" t="n">
        <x:f>VLOOKUP(C102,'원본_AIDeck'!$B$2:$N$47,11,FALSE)</x:f>
        <x:v>20</x:v>
      </x:c>
      <x:c r="I102" t="n">
        <x:f>VLOOKUP(C102,'원본_AIDeck'!$B$2:$N$47,12,FALSE)</x:f>
        <x:v>29</x:v>
      </x:c>
      <x:c r="J102" t="n">
        <x:f>VLOOKUP(C102,'원본_AIDeck'!$B$2:$N$47,13,FALSE)</x:f>
        <x:v>37</x:v>
      </x:c>
      <x:c r="K102" t="n">
        <x:f>VLOOKUP(E102,'카드성장'!$A$7:$G$46,'원본_RankAiEncounter'!E97+2,FALSE)+SUMIF('원본_CardLimitBreak'!$B$2:$B$4,"&lt;="&amp;'원본_RankAiEncounter'!K97,'원본_CardLimitBreak'!$C$2:$C$4)</x:f>
        <x:v>15</x:v>
      </x:c>
      <x:c r="L102" t="n">
        <x:f>VLOOKUP(F102,'카드성장'!$A$7:$G$46,'원본_RankAiEncounter'!F97+2,FALSE)+SUMIF('원본_CardLimitBreak'!$B$2:$B$4,"&lt;="&amp;'원본_RankAiEncounter'!L97,'원본_CardLimitBreak'!$C$2:$C$4)</x:f>
        <x:v>14</x:v>
      </x:c>
      <x:c r="M102" t="n">
        <x:f>VLOOKUP(G102,'카드성장'!$A$7:$G$46,'원본_RankAiEncounter'!G97+2,FALSE)+SUMIF('원본_CardLimitBreak'!$B$2:$B$4,"&lt;="&amp;'원본_RankAiEncounter'!M97,'원본_CardLimitBreak'!$C$2:$C$4)</x:f>
        <x:v>19</x:v>
      </x:c>
      <x:c r="N102" t="n">
        <x:f>VLOOKUP(H102,'카드성장'!$A$7:$G$46,'원본_RankAiEncounter'!H97+2,FALSE)+SUMIF('원본_CardLimitBreak'!$B$2:$B$4,"&lt;="&amp;'원본_RankAiEncounter'!N97,'원본_CardLimitBreak'!$C$2:$C$4)</x:f>
        <x:v>18</x:v>
      </x:c>
      <x:c r="O102" t="n">
        <x:f>VLOOKUP(I102,'카드성장'!$A$7:$G$46,'원본_RankAiEncounter'!I97+2,FALSE)+SUMIF('원본_CardLimitBreak'!$B$2:$B$4,"&lt;="&amp;'원본_RankAiEncounter'!O97,'원본_CardLimitBreak'!$C$2:$C$4)</x:f>
        <x:v>18</x:v>
      </x:c>
      <x:c r="P102" t="n">
        <x:f>VLOOKUP(J102,'카드성장'!$A$7:$G$46,'원본_RankAiEncounter'!J97+2,FALSE)+SUMIF('원본_CardLimitBreak'!$B$2:$B$4,"&lt;="&amp;'원본_RankAiEncounter'!P97,'원본_CardLimitBreak'!$C$2:$C$4)</x:f>
        <x:v>17</x:v>
      </x:c>
      <x:c r="Q102" t="n">
        <x:f>SUM(K102:P102)</x:f>
        <x:v>101</x:v>
      </x:c>
    </x:row>
    <x:row r="103">
      <x:c r="A103" t="n">
        <x:f>'원본_RankAiEncounter'!B98</x:f>
        <x:v>15</x:v>
      </x:c>
      <x:c r="B103" t="str">
        <x:f>'원본_RankAiEncounter'!C98</x:f>
        <x:v>Normal</x:v>
      </x:c>
      <x:c r="C103" t="str">
        <x:f>'원본_RankAiEncounter'!D98</x:f>
        <x:v>deck_06</x:v>
      </x:c>
      <x:c r="D103" t="n">
        <x:f>MAX(1,VLOOKUP(C103,'원본_AIDeck'!$B$2:$N$47,5,FALSE))</x:f>
        <x:v>1</x:v>
      </x:c>
      <x:c r="E103" t="n">
        <x:f>VLOOKUP(C103,'원본_AIDeck'!$B$2:$N$47,8,FALSE)</x:f>
        <x:v>15</x:v>
      </x:c>
      <x:c r="F103" t="n">
        <x:f>VLOOKUP(C103,'원본_AIDeck'!$B$2:$N$47,9,FALSE)</x:f>
        <x:v>16</x:v>
      </x:c>
      <x:c r="G103" t="n">
        <x:f>VLOOKUP(C103,'원본_AIDeck'!$B$2:$N$47,10,FALSE)</x:f>
        <x:v>25</x:v>
      </x:c>
      <x:c r="H103" t="n">
        <x:f>VLOOKUP(C103,'원본_AIDeck'!$B$2:$N$47,11,FALSE)</x:f>
        <x:v>20</x:v>
      </x:c>
      <x:c r="I103" t="n">
        <x:f>VLOOKUP(C103,'원본_AIDeck'!$B$2:$N$47,12,FALSE)</x:f>
        <x:v>6</x:v>
      </x:c>
      <x:c r="J103" t="n">
        <x:f>VLOOKUP(C103,'원본_AIDeck'!$B$2:$N$47,13,FALSE)</x:f>
        <x:v>38</x:v>
      </x:c>
      <x:c r="K103" t="n">
        <x:f>VLOOKUP(E103,'카드성장'!$A$7:$G$46,'원본_RankAiEncounter'!E98+2,FALSE)+SUMIF('원본_CardLimitBreak'!$B$2:$B$4,"&lt;="&amp;'원본_RankAiEncounter'!K98,'원본_CardLimitBreak'!$C$2:$C$4)</x:f>
        <x:v>15</x:v>
      </x:c>
      <x:c r="L103" t="n">
        <x:f>VLOOKUP(F103,'카드성장'!$A$7:$G$46,'원본_RankAiEncounter'!F98+2,FALSE)+SUMIF('원본_CardLimitBreak'!$B$2:$B$4,"&lt;="&amp;'원본_RankAiEncounter'!L98,'원본_CardLimitBreak'!$C$2:$C$4)</x:f>
        <x:v>14</x:v>
      </x:c>
      <x:c r="M103" t="n">
        <x:f>VLOOKUP(G103,'카드성장'!$A$7:$G$46,'원본_RankAiEncounter'!G98+2,FALSE)+SUMIF('원본_CardLimitBreak'!$B$2:$B$4,"&lt;="&amp;'원본_RankAiEncounter'!M98,'원본_CardLimitBreak'!$C$2:$C$4)</x:f>
        <x:v>19</x:v>
      </x:c>
      <x:c r="N103" t="n">
        <x:f>VLOOKUP(H103,'카드성장'!$A$7:$G$46,'원본_RankAiEncounter'!H98+2,FALSE)+SUMIF('원본_CardLimitBreak'!$B$2:$B$4,"&lt;="&amp;'원본_RankAiEncounter'!N98,'원본_CardLimitBreak'!$C$2:$C$4)</x:f>
        <x:v>18</x:v>
      </x:c>
      <x:c r="O103" t="n">
        <x:f>VLOOKUP(I103,'카드성장'!$A$7:$G$46,'원본_RankAiEncounter'!I98+2,FALSE)+SUMIF('원본_CardLimitBreak'!$B$2:$B$4,"&lt;="&amp;'원본_RankAiEncounter'!O98,'원본_CardLimitBreak'!$C$2:$C$4)</x:f>
        <x:v>20</x:v>
      </x:c>
      <x:c r="P103" t="n">
        <x:f>VLOOKUP(J103,'카드성장'!$A$7:$G$46,'원본_RankAiEncounter'!J98+2,FALSE)+SUMIF('원본_CardLimitBreak'!$B$2:$B$4,"&lt;="&amp;'원본_RankAiEncounter'!P98,'원본_CardLimitBreak'!$C$2:$C$4)</x:f>
        <x:v>20</x:v>
      </x:c>
      <x:c r="Q103" t="n">
        <x:f>SUM(K103:P103)</x:f>
        <x:v>106</x:v>
      </x:c>
    </x:row>
    <x:row r="104">
      <x:c r="A104" t="n">
        <x:f>'원본_RankAiEncounter'!B99</x:f>
        <x:v>15</x:v>
      </x:c>
      <x:c r="B104" t="str">
        <x:f>'원본_RankAiEncounter'!C99</x:f>
        <x:v>Normal</x:v>
      </x:c>
      <x:c r="C104" t="str">
        <x:f>'원본_RankAiEncounter'!D99</x:f>
        <x:v>deck_07</x:v>
      </x:c>
      <x:c r="D104" t="n">
        <x:f>MAX(1,VLOOKUP(C104,'원본_AIDeck'!$B$2:$N$47,5,FALSE))</x:f>
        <x:v>1</x:v>
      </x:c>
      <x:c r="E104" t="n">
        <x:f>VLOOKUP(C104,'원본_AIDeck'!$B$2:$N$47,8,FALSE)</x:f>
        <x:v>8</x:v>
      </x:c>
      <x:c r="F104" t="n">
        <x:f>VLOOKUP(C104,'원본_AIDeck'!$B$2:$N$47,9,FALSE)</x:f>
        <x:v>9</x:v>
      </x:c>
      <x:c r="G104" t="n">
        <x:f>VLOOKUP(C104,'원본_AIDeck'!$B$2:$N$47,10,FALSE)</x:f>
        <x:v>10</x:v>
      </x:c>
      <x:c r="H104" t="n">
        <x:f>VLOOKUP(C104,'원본_AIDeck'!$B$2:$N$47,11,FALSE)</x:f>
        <x:v>20</x:v>
      </x:c>
      <x:c r="I104" t="n">
        <x:f>VLOOKUP(C104,'원본_AIDeck'!$B$2:$N$47,12,FALSE)</x:f>
        <x:v>6</x:v>
      </x:c>
      <x:c r="J104" t="n">
        <x:f>VLOOKUP(C104,'원본_AIDeck'!$B$2:$N$47,13,FALSE)</x:f>
        <x:v>27</x:v>
      </x:c>
      <x:c r="K104" t="n">
        <x:f>VLOOKUP(E104,'카드성장'!$A$7:$G$46,'원본_RankAiEncounter'!E99+2,FALSE)+SUMIF('원본_CardLimitBreak'!$B$2:$B$4,"&lt;="&amp;'원본_RankAiEncounter'!K99,'원본_CardLimitBreak'!$C$2:$C$4)</x:f>
        <x:v>18</x:v>
      </x:c>
      <x:c r="L104" t="n">
        <x:f>VLOOKUP(F104,'카드성장'!$A$7:$G$46,'원본_RankAiEncounter'!F99+2,FALSE)+SUMIF('원본_CardLimitBreak'!$B$2:$B$4,"&lt;="&amp;'원본_RankAiEncounter'!L99,'원본_CardLimitBreak'!$C$2:$C$4)</x:f>
        <x:v>16</x:v>
      </x:c>
      <x:c r="M104" t="n">
        <x:f>VLOOKUP(G104,'카드성장'!$A$7:$G$46,'원본_RankAiEncounter'!G99+2,FALSE)+SUMIF('원본_CardLimitBreak'!$B$2:$B$4,"&lt;="&amp;'원본_RankAiEncounter'!M99,'원본_CardLimitBreak'!$C$2:$C$4)</x:f>
        <x:v>19</x:v>
      </x:c>
      <x:c r="N104" t="n">
        <x:f>VLOOKUP(H104,'카드성장'!$A$7:$G$46,'원본_RankAiEncounter'!H99+2,FALSE)+SUMIF('원본_CardLimitBreak'!$B$2:$B$4,"&lt;="&amp;'원본_RankAiEncounter'!N99,'원본_CardLimitBreak'!$C$2:$C$4)</x:f>
        <x:v>18</x:v>
      </x:c>
      <x:c r="O104" t="n">
        <x:f>VLOOKUP(I104,'카드성장'!$A$7:$G$46,'원본_RankAiEncounter'!I99+2,FALSE)+SUMIF('원본_CardLimitBreak'!$B$2:$B$4,"&lt;="&amp;'원본_RankAiEncounter'!O99,'원본_CardLimitBreak'!$C$2:$C$4)</x:f>
        <x:v>20</x:v>
      </x:c>
      <x:c r="P104" t="n">
        <x:f>VLOOKUP(J104,'카드성장'!$A$7:$G$46,'원본_RankAiEncounter'!J99+2,FALSE)+SUMIF('원본_CardLimitBreak'!$B$2:$B$4,"&lt;="&amp;'원본_RankAiEncounter'!P99,'원본_CardLimitBreak'!$C$2:$C$4)</x:f>
        <x:v>15</x:v>
      </x:c>
      <x:c r="Q104" t="n">
        <x:f>SUM(K104:P104)</x:f>
        <x:v>106</x:v>
      </x:c>
    </x:row>
    <x:row r="105">
      <x:c r="A105" t="n">
        <x:f>'원본_RankAiEncounter'!B100</x:f>
        <x:v>15</x:v>
      </x:c>
      <x:c r="B105" t="str">
        <x:f>'원본_RankAiEncounter'!C100</x:f>
        <x:v>Normal</x:v>
      </x:c>
      <x:c r="C105" t="str">
        <x:f>'원본_RankAiEncounter'!D100</x:f>
        <x:v>deck_08</x:v>
      </x:c>
      <x:c r="D105" t="n">
        <x:f>MAX(1,VLOOKUP(C105,'원본_AIDeck'!$B$2:$N$47,5,FALSE))</x:f>
        <x:v>1</x:v>
      </x:c>
      <x:c r="E105" t="n">
        <x:f>VLOOKUP(C105,'원본_AIDeck'!$B$2:$N$47,8,FALSE)</x:f>
        <x:v>5</x:v>
      </x:c>
      <x:c r="F105" t="n">
        <x:f>VLOOKUP(C105,'원본_AIDeck'!$B$2:$N$47,9,FALSE)</x:f>
        <x:v>6</x:v>
      </x:c>
      <x:c r="G105" t="n">
        <x:f>VLOOKUP(C105,'원본_AIDeck'!$B$2:$N$47,10,FALSE)</x:f>
        <x:v>33</x:v>
      </x:c>
      <x:c r="H105" t="n">
        <x:f>VLOOKUP(C105,'원본_AIDeck'!$B$2:$N$47,11,FALSE)</x:f>
        <x:v>28</x:v>
      </x:c>
      <x:c r="I105" t="n">
        <x:f>VLOOKUP(C105,'원본_AIDeck'!$B$2:$N$47,12,FALSE)</x:f>
        <x:v>12</x:v>
      </x:c>
      <x:c r="J105" t="n">
        <x:f>VLOOKUP(C105,'원본_AIDeck'!$B$2:$N$47,13,FALSE)</x:f>
        <x:v>10</x:v>
      </x:c>
      <x:c r="K105" t="n">
        <x:f>VLOOKUP(E105,'카드성장'!$A$7:$G$46,'원본_RankAiEncounter'!E100+2,FALSE)+SUMIF('원본_CardLimitBreak'!$B$2:$B$4,"&lt;="&amp;'원본_RankAiEncounter'!K100,'원본_CardLimitBreak'!$C$2:$C$4)</x:f>
        <x:v>20</x:v>
      </x:c>
      <x:c r="L105" t="n">
        <x:f>VLOOKUP(F105,'카드성장'!$A$7:$G$46,'원본_RankAiEncounter'!F100+2,FALSE)+SUMIF('원본_CardLimitBreak'!$B$2:$B$4,"&lt;="&amp;'원본_RankAiEncounter'!L100,'원본_CardLimitBreak'!$C$2:$C$4)</x:f>
        <x:v>20</x:v>
      </x:c>
      <x:c r="M105" t="n">
        <x:f>VLOOKUP(G105,'카드성장'!$A$7:$G$46,'원본_RankAiEncounter'!G100+2,FALSE)+SUMIF('원본_CardLimitBreak'!$B$2:$B$4,"&lt;="&amp;'원본_RankAiEncounter'!M100,'원본_CardLimitBreak'!$C$2:$C$4)</x:f>
        <x:v>16</x:v>
      </x:c>
      <x:c r="N105" t="n">
        <x:f>VLOOKUP(H105,'카드성장'!$A$7:$G$46,'원본_RankAiEncounter'!H100+2,FALSE)+SUMIF('원본_CardLimitBreak'!$B$2:$B$4,"&lt;="&amp;'원본_RankAiEncounter'!N100,'원본_CardLimitBreak'!$C$2:$C$4)</x:f>
        <x:v>20</x:v>
      </x:c>
      <x:c r="O105" t="n">
        <x:f>VLOOKUP(I105,'카드성장'!$A$7:$G$46,'원본_RankAiEncounter'!I100+2,FALSE)+SUMIF('원본_CardLimitBreak'!$B$2:$B$4,"&lt;="&amp;'원본_RankAiEncounter'!O100,'원본_CardLimitBreak'!$C$2:$C$4)</x:f>
        <x:v>20</x:v>
      </x:c>
      <x:c r="P105" t="n">
        <x:f>VLOOKUP(J105,'카드성장'!$A$7:$G$46,'원본_RankAiEncounter'!J100+2,FALSE)+SUMIF('원본_CardLimitBreak'!$B$2:$B$4,"&lt;="&amp;'원본_RankAiEncounter'!P100,'원본_CardLimitBreak'!$C$2:$C$4)</x:f>
        <x:v>19</x:v>
      </x:c>
      <x:c r="Q105" t="n">
        <x:f>SUM(K105:P105)</x:f>
        <x:v>115</x:v>
      </x:c>
    </x:row>
    <x:row r="106">
      <x:c r="A106" t="n">
        <x:f>'원본_RankAiEncounter'!B101</x:f>
        <x:v>16</x:v>
      </x:c>
      <x:c r="B106" t="str">
        <x:f>'원본_RankAiEncounter'!C101</x:f>
        <x:v>Normal</x:v>
      </x:c>
      <x:c r="C106" t="str">
        <x:f>'원본_RankAiEncounter'!D101</x:f>
        <x:v>deck_01</x:v>
      </x:c>
      <x:c r="D106" t="n">
        <x:f>MAX(1,VLOOKUP(C106,'원본_AIDeck'!$B$2:$N$47,5,FALSE))</x:f>
        <x:v>1</x:v>
      </x:c>
      <x:c r="E106" t="n">
        <x:f>VLOOKUP(C106,'원본_AIDeck'!$B$2:$N$47,8,FALSE)</x:f>
        <x:v>20</x:v>
      </x:c>
      <x:c r="F106" t="n">
        <x:f>VLOOKUP(C106,'원본_AIDeck'!$B$2:$N$47,9,FALSE)</x:f>
        <x:v>18</x:v>
      </x:c>
      <x:c r="G106" t="n">
        <x:f>VLOOKUP(C106,'원본_AIDeck'!$B$2:$N$47,10,FALSE)</x:f>
        <x:v>19</x:v>
      </x:c>
      <x:c r="H106" t="n">
        <x:f>VLOOKUP(C106,'원본_AIDeck'!$B$2:$N$47,11,FALSE)</x:f>
        <x:v>6</x:v>
      </x:c>
      <x:c r="I106" t="n">
        <x:f>VLOOKUP(C106,'원본_AIDeck'!$B$2:$N$47,12,FALSE)</x:f>
        <x:v>13</x:v>
      </x:c>
      <x:c r="J106" t="n">
        <x:f>VLOOKUP(C106,'원본_AIDeck'!$B$2:$N$47,13,FALSE)</x:f>
        <x:v>14</x:v>
      </x:c>
      <x:c r="K106" t="n">
        <x:f>VLOOKUP(E106,'카드성장'!$A$7:$G$46,'원본_RankAiEncounter'!E101+2,FALSE)+SUMIF('원본_CardLimitBreak'!$B$2:$B$4,"&lt;="&amp;'원본_RankAiEncounter'!K101,'원본_CardLimitBreak'!$C$2:$C$4)</x:f>
        <x:v>20</x:v>
      </x:c>
      <x:c r="L106" t="n">
        <x:f>VLOOKUP(F106,'카드성장'!$A$7:$G$46,'원본_RankAiEncounter'!F101+2,FALSE)+SUMIF('원본_CardLimitBreak'!$B$2:$B$4,"&lt;="&amp;'원본_RankAiEncounter'!L101,'원본_CardLimitBreak'!$C$2:$C$4)</x:f>
        <x:v>14</x:v>
      </x:c>
      <x:c r="M106" t="n">
        <x:f>VLOOKUP(G106,'카드성장'!$A$7:$G$46,'원본_RankAiEncounter'!G101+2,FALSE)+SUMIF('원본_CardLimitBreak'!$B$2:$B$4,"&lt;="&amp;'원본_RankAiEncounter'!M101,'원본_CardLimitBreak'!$C$2:$C$4)</x:f>
        <x:v>18</x:v>
      </x:c>
      <x:c r="N106" t="n">
        <x:f>VLOOKUP(H106,'카드성장'!$A$7:$G$46,'원본_RankAiEncounter'!H101+2,FALSE)+SUMIF('원본_CardLimitBreak'!$B$2:$B$4,"&lt;="&amp;'원본_RankAiEncounter'!N101,'원본_CardLimitBreak'!$C$2:$C$4)</x:f>
        <x:v>20</x:v>
      </x:c>
      <x:c r="O106" t="n">
        <x:f>VLOOKUP(I106,'카드성장'!$A$7:$G$46,'원본_RankAiEncounter'!I101+2,FALSE)+SUMIF('원본_CardLimitBreak'!$B$2:$B$4,"&lt;="&amp;'원본_RankAiEncounter'!O101,'원본_CardLimitBreak'!$C$2:$C$4)</x:f>
        <x:v>17</x:v>
      </x:c>
      <x:c r="P106" t="n">
        <x:f>VLOOKUP(J106,'카드성장'!$A$7:$G$46,'원본_RankAiEncounter'!J101+2,FALSE)+SUMIF('원본_CardLimitBreak'!$B$2:$B$4,"&lt;="&amp;'원본_RankAiEncounter'!P101,'원본_CardLimitBreak'!$C$2:$C$4)</x:f>
        <x:v>19</x:v>
      </x:c>
      <x:c r="Q106" t="n">
        <x:f>SUM(K106:P106)</x:f>
        <x:v>108</x:v>
      </x:c>
    </x:row>
    <x:row r="107">
      <x:c r="A107" t="n">
        <x:f>'원본_RankAiEncounter'!B102</x:f>
        <x:v>16</x:v>
      </x:c>
      <x:c r="B107" t="str">
        <x:f>'원본_RankAiEncounter'!C102</x:f>
        <x:v>Normal</x:v>
      </x:c>
      <x:c r="C107" t="str">
        <x:f>'원본_RankAiEncounter'!D102</x:f>
        <x:v>deck_02</x:v>
      </x:c>
      <x:c r="D107" t="n">
        <x:f>MAX(1,VLOOKUP(C107,'원본_AIDeck'!$B$2:$N$47,5,FALSE))</x:f>
        <x:v>1</x:v>
      </x:c>
      <x:c r="E107" t="n">
        <x:f>VLOOKUP(C107,'원본_AIDeck'!$B$2:$N$47,8,FALSE)</x:f>
        <x:v>20</x:v>
      </x:c>
      <x:c r="F107" t="n">
        <x:f>VLOOKUP(C107,'원본_AIDeck'!$B$2:$N$47,9,FALSE)</x:f>
        <x:v>18</x:v>
      </x:c>
      <x:c r="G107" t="n">
        <x:f>VLOOKUP(C107,'원본_AIDeck'!$B$2:$N$47,10,FALSE)</x:f>
        <x:v>19</x:v>
      </x:c>
      <x:c r="H107" t="n">
        <x:f>VLOOKUP(C107,'원본_AIDeck'!$B$2:$N$47,11,FALSE)</x:f>
        <x:v>4</x:v>
      </x:c>
      <x:c r="I107" t="n">
        <x:f>VLOOKUP(C107,'원본_AIDeck'!$B$2:$N$47,12,FALSE)</x:f>
        <x:v>37</x:v>
      </x:c>
      <x:c r="J107" t="n">
        <x:f>VLOOKUP(C107,'원본_AIDeck'!$B$2:$N$47,13,FALSE)</x:f>
        <x:v>31</x:v>
      </x:c>
      <x:c r="K107" t="n">
        <x:f>VLOOKUP(E107,'카드성장'!$A$7:$G$46,'원본_RankAiEncounter'!E102+2,FALSE)+SUMIF('원본_CardLimitBreak'!$B$2:$B$4,"&lt;="&amp;'원본_RankAiEncounter'!K102,'원본_CardLimitBreak'!$C$2:$C$4)</x:f>
        <x:v>20</x:v>
      </x:c>
      <x:c r="L107" t="n">
        <x:f>VLOOKUP(F107,'카드성장'!$A$7:$G$46,'원본_RankAiEncounter'!F102+2,FALSE)+SUMIF('원본_CardLimitBreak'!$B$2:$B$4,"&lt;="&amp;'원본_RankAiEncounter'!L102,'원본_CardLimitBreak'!$C$2:$C$4)</x:f>
        <x:v>14</x:v>
      </x:c>
      <x:c r="M107" t="n">
        <x:f>VLOOKUP(G107,'카드성장'!$A$7:$G$46,'원본_RankAiEncounter'!G102+2,FALSE)+SUMIF('원본_CardLimitBreak'!$B$2:$B$4,"&lt;="&amp;'원본_RankAiEncounter'!M102,'원본_CardLimitBreak'!$C$2:$C$4)</x:f>
        <x:v>18</x:v>
      </x:c>
      <x:c r="N107" t="n">
        <x:f>VLOOKUP(H107,'카드성장'!$A$7:$G$46,'원본_RankAiEncounter'!H102+2,FALSE)+SUMIF('원본_CardLimitBreak'!$B$2:$B$4,"&lt;="&amp;'원본_RankAiEncounter'!N102,'원본_CardLimitBreak'!$C$2:$C$4)</x:f>
        <x:v>18</x:v>
      </x:c>
      <x:c r="O107" t="n">
        <x:f>VLOOKUP(I107,'카드성장'!$A$7:$G$46,'원본_RankAiEncounter'!I102+2,FALSE)+SUMIF('원본_CardLimitBreak'!$B$2:$B$4,"&lt;="&amp;'원본_RankAiEncounter'!O102,'원본_CardLimitBreak'!$C$2:$C$4)</x:f>
        <x:v>19</x:v>
      </x:c>
      <x:c r="P107" t="n">
        <x:f>VLOOKUP(J107,'카드성장'!$A$7:$G$46,'원본_RankAiEncounter'!J102+2,FALSE)+SUMIF('원본_CardLimitBreak'!$B$2:$B$4,"&lt;="&amp;'원본_RankAiEncounter'!P102,'원본_CardLimitBreak'!$C$2:$C$4)</x:f>
        <x:v>18</x:v>
      </x:c>
      <x:c r="Q107" t="n">
        <x:f>SUM(K107:P107)</x:f>
        <x:v>107</x:v>
      </x:c>
    </x:row>
    <x:row r="108">
      <x:c r="A108" t="n">
        <x:f>'원본_RankAiEncounter'!B103</x:f>
        <x:v>16</x:v>
      </x:c>
      <x:c r="B108" t="str">
        <x:f>'원본_RankAiEncounter'!C103</x:f>
        <x:v>Normal</x:v>
      </x:c>
      <x:c r="C108" t="str">
        <x:f>'원본_RankAiEncounter'!D103</x:f>
        <x:v>deck_03</x:v>
      </x:c>
      <x:c r="D108" t="n">
        <x:f>MAX(1,VLOOKUP(C108,'원본_AIDeck'!$B$2:$N$47,5,FALSE))</x:f>
        <x:v>1</x:v>
      </x:c>
      <x:c r="E108" t="n">
        <x:f>VLOOKUP(C108,'원본_AIDeck'!$B$2:$N$47,8,FALSE)</x:f>
        <x:v>4</x:v>
      </x:c>
      <x:c r="F108" t="n">
        <x:f>VLOOKUP(C108,'원본_AIDeck'!$B$2:$N$47,9,FALSE)</x:f>
        <x:v>2</x:v>
      </x:c>
      <x:c r="G108" t="n">
        <x:f>VLOOKUP(C108,'원본_AIDeck'!$B$2:$N$47,10,FALSE)</x:f>
        <x:v>1</x:v>
      </x:c>
      <x:c r="H108" t="n">
        <x:f>VLOOKUP(C108,'원본_AIDeck'!$B$2:$N$47,11,FALSE)</x:f>
        <x:v>6</x:v>
      </x:c>
      <x:c r="I108" t="n">
        <x:f>VLOOKUP(C108,'원본_AIDeck'!$B$2:$N$47,12,FALSE)</x:f>
        <x:v>28</x:v>
      </x:c>
      <x:c r="J108" t="n">
        <x:f>VLOOKUP(C108,'원본_AIDeck'!$B$2:$N$47,13,FALSE)</x:f>
        <x:v>12</x:v>
      </x:c>
      <x:c r="K108" t="n">
        <x:f>VLOOKUP(E108,'카드성장'!$A$7:$G$46,'원본_RankAiEncounter'!E103+2,FALSE)+SUMIF('원본_CardLimitBreak'!$B$2:$B$4,"&lt;="&amp;'원본_RankAiEncounter'!K103,'원본_CardLimitBreak'!$C$2:$C$4)</x:f>
        <x:v>20</x:v>
      </x:c>
      <x:c r="L108" t="n">
        <x:f>VLOOKUP(F108,'카드성장'!$A$7:$G$46,'원본_RankAiEncounter'!F103+2,FALSE)+SUMIF('원본_CardLimitBreak'!$B$2:$B$4,"&lt;="&amp;'원본_RankAiEncounter'!L103,'원본_CardLimitBreak'!$C$2:$C$4)</x:f>
        <x:v>16</x:v>
      </x:c>
      <x:c r="M108" t="n">
        <x:f>VLOOKUP(G108,'카드성장'!$A$7:$G$46,'원본_RankAiEncounter'!G103+2,FALSE)+SUMIF('원본_CardLimitBreak'!$B$2:$B$4,"&lt;="&amp;'원본_RankAiEncounter'!M103,'원본_CardLimitBreak'!$C$2:$C$4)</x:f>
        <x:v>14</x:v>
      </x:c>
      <x:c r="N108" t="n">
        <x:f>VLOOKUP(H108,'카드성장'!$A$7:$G$46,'원본_RankAiEncounter'!H103+2,FALSE)+SUMIF('원본_CardLimitBreak'!$B$2:$B$4,"&lt;="&amp;'원본_RankAiEncounter'!N103,'원본_CardLimitBreak'!$C$2:$C$4)</x:f>
        <x:v>20</x:v>
      </x:c>
      <x:c r="O108" t="n">
        <x:f>VLOOKUP(I108,'카드성장'!$A$7:$G$46,'원본_RankAiEncounter'!I103+2,FALSE)+SUMIF('원본_CardLimitBreak'!$B$2:$B$4,"&lt;="&amp;'원본_RankAiEncounter'!O103,'원본_CardLimitBreak'!$C$2:$C$4)</x:f>
        <x:v>20</x:v>
      </x:c>
      <x:c r="P108" t="n">
        <x:f>VLOOKUP(J108,'카드성장'!$A$7:$G$46,'원본_RankAiEncounter'!J103+2,FALSE)+SUMIF('원본_CardLimitBreak'!$B$2:$B$4,"&lt;="&amp;'원본_RankAiEncounter'!P103,'원본_CardLimitBreak'!$C$2:$C$4)</x:f>
        <x:v>20</x:v>
      </x:c>
      <x:c r="Q108" t="n">
        <x:f>SUM(K108:P108)</x:f>
        <x:v>110</x:v>
      </x:c>
    </x:row>
    <x:row r="109">
      <x:c r="A109" t="n">
        <x:f>'원본_RankAiEncounter'!B104</x:f>
        <x:v>16</x:v>
      </x:c>
      <x:c r="B109" t="str">
        <x:f>'원본_RankAiEncounter'!C104</x:f>
        <x:v>Normal</x:v>
      </x:c>
      <x:c r="C109" t="str">
        <x:f>'원본_RankAiEncounter'!D104</x:f>
        <x:v>deck_04</x:v>
      </x:c>
      <x:c r="D109" t="n">
        <x:f>MAX(1,VLOOKUP(C109,'원본_AIDeck'!$B$2:$N$47,5,FALSE))</x:f>
        <x:v>1</x:v>
      </x:c>
      <x:c r="E109" t="n">
        <x:f>VLOOKUP(C109,'원본_AIDeck'!$B$2:$N$47,8,FALSE)</x:f>
        <x:v>4</x:v>
      </x:c>
      <x:c r="F109" t="n">
        <x:f>VLOOKUP(C109,'원본_AIDeck'!$B$2:$N$47,9,FALSE)</x:f>
        <x:v>2</x:v>
      </x:c>
      <x:c r="G109" t="n">
        <x:f>VLOOKUP(C109,'원본_AIDeck'!$B$2:$N$47,10,FALSE)</x:f>
        <x:v>32</x:v>
      </x:c>
      <x:c r="H109" t="n">
        <x:f>VLOOKUP(C109,'원본_AIDeck'!$B$2:$N$47,11,FALSE)</x:f>
        <x:v>27</x:v>
      </x:c>
      <x:c r="I109" t="n">
        <x:f>VLOOKUP(C109,'원본_AIDeck'!$B$2:$N$47,12,FALSE)</x:f>
        <x:v>6</x:v>
      </x:c>
      <x:c r="J109" t="n">
        <x:f>VLOOKUP(C109,'원본_AIDeck'!$B$2:$N$47,13,FALSE)</x:f>
        <x:v>38</x:v>
      </x:c>
      <x:c r="K109" t="n">
        <x:f>VLOOKUP(E109,'카드성장'!$A$7:$G$46,'원본_RankAiEncounter'!E104+2,FALSE)+SUMIF('원본_CardLimitBreak'!$B$2:$B$4,"&lt;="&amp;'원본_RankAiEncounter'!K104,'원본_CardLimitBreak'!$C$2:$C$4)</x:f>
        <x:v>20</x:v>
      </x:c>
      <x:c r="L109" t="n">
        <x:f>VLOOKUP(F109,'카드성장'!$A$7:$G$46,'원본_RankAiEncounter'!F104+2,FALSE)+SUMIF('원본_CardLimitBreak'!$B$2:$B$4,"&lt;="&amp;'원본_RankAiEncounter'!L104,'원본_CardLimitBreak'!$C$2:$C$4)</x:f>
        <x:v>16</x:v>
      </x:c>
      <x:c r="M109" t="n">
        <x:f>VLOOKUP(G109,'카드성장'!$A$7:$G$46,'원본_RankAiEncounter'!G104+2,FALSE)+SUMIF('원본_CardLimitBreak'!$B$2:$B$4,"&lt;="&amp;'원본_RankAiEncounter'!M104,'원본_CardLimitBreak'!$C$2:$C$4)</x:f>
        <x:v>17</x:v>
      </x:c>
      <x:c r="N109" t="n">
        <x:f>VLOOKUP(H109,'카드성장'!$A$7:$G$46,'원본_RankAiEncounter'!H104+2,FALSE)+SUMIF('원본_CardLimitBreak'!$B$2:$B$4,"&lt;="&amp;'원본_RankAiEncounter'!N104,'원본_CardLimitBreak'!$C$2:$C$4)</x:f>
        <x:v>15</x:v>
      </x:c>
      <x:c r="O109" t="n">
        <x:f>VLOOKUP(I109,'카드성장'!$A$7:$G$46,'원본_RankAiEncounter'!I104+2,FALSE)+SUMIF('원본_CardLimitBreak'!$B$2:$B$4,"&lt;="&amp;'원본_RankAiEncounter'!O104,'원본_CardLimitBreak'!$C$2:$C$4)</x:f>
        <x:v>20</x:v>
      </x:c>
      <x:c r="P109" t="n">
        <x:f>VLOOKUP(J109,'카드성장'!$A$7:$G$46,'원본_RankAiEncounter'!J104+2,FALSE)+SUMIF('원본_CardLimitBreak'!$B$2:$B$4,"&lt;="&amp;'원본_RankAiEncounter'!P104,'원본_CardLimitBreak'!$C$2:$C$4)</x:f>
        <x:v>20</x:v>
      </x:c>
      <x:c r="Q109" t="n">
        <x:f>SUM(K109:P109)</x:f>
        <x:v>108</x:v>
      </x:c>
    </x:row>
    <x:row r="110">
      <x:c r="A110" t="n">
        <x:f>'원본_RankAiEncounter'!B105</x:f>
        <x:v>16</x:v>
      </x:c>
      <x:c r="B110" t="str">
        <x:f>'원본_RankAiEncounter'!C105</x:f>
        <x:v>Normal</x:v>
      </x:c>
      <x:c r="C110" t="str">
        <x:f>'원본_RankAiEncounter'!D105</x:f>
        <x:v>deck_05</x:v>
      </x:c>
      <x:c r="D110" t="n">
        <x:f>MAX(1,VLOOKUP(C110,'원본_AIDeck'!$B$2:$N$47,5,FALSE))</x:f>
        <x:v>1</x:v>
      </x:c>
      <x:c r="E110" t="n">
        <x:f>VLOOKUP(C110,'원본_AIDeck'!$B$2:$N$47,8,FALSE)</x:f>
        <x:v>15</x:v>
      </x:c>
      <x:c r="F110" t="n">
        <x:f>VLOOKUP(C110,'원본_AIDeck'!$B$2:$N$47,9,FALSE)</x:f>
        <x:v>16</x:v>
      </x:c>
      <x:c r="G110" t="n">
        <x:f>VLOOKUP(C110,'원본_AIDeck'!$B$2:$N$47,10,FALSE)</x:f>
        <x:v>25</x:v>
      </x:c>
      <x:c r="H110" t="n">
        <x:f>VLOOKUP(C110,'원본_AIDeck'!$B$2:$N$47,11,FALSE)</x:f>
        <x:v>20</x:v>
      </x:c>
      <x:c r="I110" t="n">
        <x:f>VLOOKUP(C110,'원본_AIDeck'!$B$2:$N$47,12,FALSE)</x:f>
        <x:v>29</x:v>
      </x:c>
      <x:c r="J110" t="n">
        <x:f>VLOOKUP(C110,'원본_AIDeck'!$B$2:$N$47,13,FALSE)</x:f>
        <x:v>37</x:v>
      </x:c>
      <x:c r="K110" t="n">
        <x:f>VLOOKUP(E110,'카드성장'!$A$7:$G$46,'원본_RankAiEncounter'!E105+2,FALSE)+SUMIF('원본_CardLimitBreak'!$B$2:$B$4,"&lt;="&amp;'원본_RankAiEncounter'!K105,'원본_CardLimitBreak'!$C$2:$C$4)</x:f>
        <x:v>17</x:v>
      </x:c>
      <x:c r="L110" t="n">
        <x:f>VLOOKUP(F110,'카드성장'!$A$7:$G$46,'원본_RankAiEncounter'!F105+2,FALSE)+SUMIF('원본_CardLimitBreak'!$B$2:$B$4,"&lt;="&amp;'원본_RankAiEncounter'!L105,'원본_CardLimitBreak'!$C$2:$C$4)</x:f>
        <x:v>14</x:v>
      </x:c>
      <x:c r="M110" t="n">
        <x:f>VLOOKUP(G110,'카드성장'!$A$7:$G$46,'원본_RankAiEncounter'!G105+2,FALSE)+SUMIF('원본_CardLimitBreak'!$B$2:$B$4,"&lt;="&amp;'원본_RankAiEncounter'!M105,'원본_CardLimitBreak'!$C$2:$C$4)</x:f>
        <x:v>19</x:v>
      </x:c>
      <x:c r="N110" t="n">
        <x:f>VLOOKUP(H110,'카드성장'!$A$7:$G$46,'원본_RankAiEncounter'!H105+2,FALSE)+SUMIF('원본_CardLimitBreak'!$B$2:$B$4,"&lt;="&amp;'원본_RankAiEncounter'!N105,'원본_CardLimitBreak'!$C$2:$C$4)</x:f>
        <x:v>18</x:v>
      </x:c>
      <x:c r="O110" t="n">
        <x:f>VLOOKUP(I110,'카드성장'!$A$7:$G$46,'원본_RankAiEncounter'!I105+2,FALSE)+SUMIF('원본_CardLimitBreak'!$B$2:$B$4,"&lt;="&amp;'원본_RankAiEncounter'!O105,'원본_CardLimitBreak'!$C$2:$C$4)</x:f>
        <x:v>18</x:v>
      </x:c>
      <x:c r="P110" t="n">
        <x:f>VLOOKUP(J110,'카드성장'!$A$7:$G$46,'원본_RankAiEncounter'!J105+2,FALSE)+SUMIF('원본_CardLimitBreak'!$B$2:$B$4,"&lt;="&amp;'원본_RankAiEncounter'!P105,'원본_CardLimitBreak'!$C$2:$C$4)</x:f>
        <x:v>17</x:v>
      </x:c>
      <x:c r="Q110" t="n">
        <x:f>SUM(K110:P110)</x:f>
        <x:v>103</x:v>
      </x:c>
    </x:row>
    <x:row r="111">
      <x:c r="A111" t="n">
        <x:f>'원본_RankAiEncounter'!B106</x:f>
        <x:v>16</x:v>
      </x:c>
      <x:c r="B111" t="str">
        <x:f>'원본_RankAiEncounter'!C106</x:f>
        <x:v>Normal</x:v>
      </x:c>
      <x:c r="C111" t="str">
        <x:f>'원본_RankAiEncounter'!D106</x:f>
        <x:v>deck_06</x:v>
      </x:c>
      <x:c r="D111" t="n">
        <x:f>MAX(1,VLOOKUP(C111,'원본_AIDeck'!$B$2:$N$47,5,FALSE))</x:f>
        <x:v>1</x:v>
      </x:c>
      <x:c r="E111" t="n">
        <x:f>VLOOKUP(C111,'원본_AIDeck'!$B$2:$N$47,8,FALSE)</x:f>
        <x:v>15</x:v>
      </x:c>
      <x:c r="F111" t="n">
        <x:f>VLOOKUP(C111,'원본_AIDeck'!$B$2:$N$47,9,FALSE)</x:f>
        <x:v>16</x:v>
      </x:c>
      <x:c r="G111" t="n">
        <x:f>VLOOKUP(C111,'원본_AIDeck'!$B$2:$N$47,10,FALSE)</x:f>
        <x:v>25</x:v>
      </x:c>
      <x:c r="H111" t="n">
        <x:f>VLOOKUP(C111,'원본_AIDeck'!$B$2:$N$47,11,FALSE)</x:f>
        <x:v>20</x:v>
      </x:c>
      <x:c r="I111" t="n">
        <x:f>VLOOKUP(C111,'원본_AIDeck'!$B$2:$N$47,12,FALSE)</x:f>
        <x:v>6</x:v>
      </x:c>
      <x:c r="J111" t="n">
        <x:f>VLOOKUP(C111,'원본_AIDeck'!$B$2:$N$47,13,FALSE)</x:f>
        <x:v>38</x:v>
      </x:c>
      <x:c r="K111" t="n">
        <x:f>VLOOKUP(E111,'카드성장'!$A$7:$G$46,'원본_RankAiEncounter'!E106+2,FALSE)+SUMIF('원본_CardLimitBreak'!$B$2:$B$4,"&lt;="&amp;'원본_RankAiEncounter'!K106,'원본_CardLimitBreak'!$C$2:$C$4)</x:f>
        <x:v>17</x:v>
      </x:c>
      <x:c r="L111" t="n">
        <x:f>VLOOKUP(F111,'카드성장'!$A$7:$G$46,'원본_RankAiEncounter'!F106+2,FALSE)+SUMIF('원본_CardLimitBreak'!$B$2:$B$4,"&lt;="&amp;'원본_RankAiEncounter'!L106,'원본_CardLimitBreak'!$C$2:$C$4)</x:f>
        <x:v>14</x:v>
      </x:c>
      <x:c r="M111" t="n">
        <x:f>VLOOKUP(G111,'카드성장'!$A$7:$G$46,'원본_RankAiEncounter'!G106+2,FALSE)+SUMIF('원본_CardLimitBreak'!$B$2:$B$4,"&lt;="&amp;'원본_RankAiEncounter'!M106,'원본_CardLimitBreak'!$C$2:$C$4)</x:f>
        <x:v>19</x:v>
      </x:c>
      <x:c r="N111" t="n">
        <x:f>VLOOKUP(H111,'카드성장'!$A$7:$G$46,'원본_RankAiEncounter'!H106+2,FALSE)+SUMIF('원본_CardLimitBreak'!$B$2:$B$4,"&lt;="&amp;'원본_RankAiEncounter'!N106,'원본_CardLimitBreak'!$C$2:$C$4)</x:f>
        <x:v>18</x:v>
      </x:c>
      <x:c r="O111" t="n">
        <x:f>VLOOKUP(I111,'카드성장'!$A$7:$G$46,'원본_RankAiEncounter'!I106+2,FALSE)+SUMIF('원본_CardLimitBreak'!$B$2:$B$4,"&lt;="&amp;'원본_RankAiEncounter'!O106,'원본_CardLimitBreak'!$C$2:$C$4)</x:f>
        <x:v>20</x:v>
      </x:c>
      <x:c r="P111" t="n">
        <x:f>VLOOKUP(J111,'카드성장'!$A$7:$G$46,'원본_RankAiEncounter'!J106+2,FALSE)+SUMIF('원본_CardLimitBreak'!$B$2:$B$4,"&lt;="&amp;'원본_RankAiEncounter'!P106,'원본_CardLimitBreak'!$C$2:$C$4)</x:f>
        <x:v>20</x:v>
      </x:c>
      <x:c r="Q111" t="n">
        <x:f>SUM(K111:P111)</x:f>
        <x:v>108</x:v>
      </x:c>
    </x:row>
    <x:row r="112">
      <x:c r="A112" t="n">
        <x:f>'원본_RankAiEncounter'!B107</x:f>
        <x:v>16</x:v>
      </x:c>
      <x:c r="B112" t="str">
        <x:f>'원본_RankAiEncounter'!C107</x:f>
        <x:v>Normal</x:v>
      </x:c>
      <x:c r="C112" t="str">
        <x:f>'원본_RankAiEncounter'!D107</x:f>
        <x:v>deck_07</x:v>
      </x:c>
      <x:c r="D112" t="n">
        <x:f>MAX(1,VLOOKUP(C112,'원본_AIDeck'!$B$2:$N$47,5,FALSE))</x:f>
        <x:v>1</x:v>
      </x:c>
      <x:c r="E112" t="n">
        <x:f>VLOOKUP(C112,'원본_AIDeck'!$B$2:$N$47,8,FALSE)</x:f>
        <x:v>8</x:v>
      </x:c>
      <x:c r="F112" t="n">
        <x:f>VLOOKUP(C112,'원본_AIDeck'!$B$2:$N$47,9,FALSE)</x:f>
        <x:v>9</x:v>
      </x:c>
      <x:c r="G112" t="n">
        <x:f>VLOOKUP(C112,'원본_AIDeck'!$B$2:$N$47,10,FALSE)</x:f>
        <x:v>10</x:v>
      </x:c>
      <x:c r="H112" t="n">
        <x:f>VLOOKUP(C112,'원본_AIDeck'!$B$2:$N$47,11,FALSE)</x:f>
        <x:v>20</x:v>
      </x:c>
      <x:c r="I112" t="n">
        <x:f>VLOOKUP(C112,'원본_AIDeck'!$B$2:$N$47,12,FALSE)</x:f>
        <x:v>6</x:v>
      </x:c>
      <x:c r="J112" t="n">
        <x:f>VLOOKUP(C112,'원본_AIDeck'!$B$2:$N$47,13,FALSE)</x:f>
        <x:v>27</x:v>
      </x:c>
      <x:c r="K112" t="n">
        <x:f>VLOOKUP(E112,'카드성장'!$A$7:$G$46,'원본_RankAiEncounter'!E107+2,FALSE)+SUMIF('원본_CardLimitBreak'!$B$2:$B$4,"&lt;="&amp;'원본_RankAiEncounter'!K107,'원본_CardLimitBreak'!$C$2:$C$4)</x:f>
        <x:v>18</x:v>
      </x:c>
      <x:c r="L112" t="n">
        <x:f>VLOOKUP(F112,'카드성장'!$A$7:$G$46,'원본_RankAiEncounter'!F107+2,FALSE)+SUMIF('원본_CardLimitBreak'!$B$2:$B$4,"&lt;="&amp;'원본_RankAiEncounter'!L107,'원본_CardLimitBreak'!$C$2:$C$4)</x:f>
        <x:v>16</x:v>
      </x:c>
      <x:c r="M112" t="n">
        <x:f>VLOOKUP(G112,'카드성장'!$A$7:$G$46,'원본_RankAiEncounter'!G107+2,FALSE)+SUMIF('원본_CardLimitBreak'!$B$2:$B$4,"&lt;="&amp;'원본_RankAiEncounter'!M107,'원본_CardLimitBreak'!$C$2:$C$4)</x:f>
        <x:v>19</x:v>
      </x:c>
      <x:c r="N112" t="n">
        <x:f>VLOOKUP(H112,'카드성장'!$A$7:$G$46,'원본_RankAiEncounter'!H107+2,FALSE)+SUMIF('원본_CardLimitBreak'!$B$2:$B$4,"&lt;="&amp;'원본_RankAiEncounter'!N107,'원본_CardLimitBreak'!$C$2:$C$4)</x:f>
        <x:v>20</x:v>
      </x:c>
      <x:c r="O112" t="n">
        <x:f>VLOOKUP(I112,'카드성장'!$A$7:$G$46,'원본_RankAiEncounter'!I107+2,FALSE)+SUMIF('원본_CardLimitBreak'!$B$2:$B$4,"&lt;="&amp;'원본_RankAiEncounter'!O107,'원본_CardLimitBreak'!$C$2:$C$4)</x:f>
        <x:v>20</x:v>
      </x:c>
      <x:c r="P112" t="n">
        <x:f>VLOOKUP(J112,'카드성장'!$A$7:$G$46,'원본_RankAiEncounter'!J107+2,FALSE)+SUMIF('원본_CardLimitBreak'!$B$2:$B$4,"&lt;="&amp;'원본_RankAiEncounter'!P107,'원본_CardLimitBreak'!$C$2:$C$4)</x:f>
        <x:v>15</x:v>
      </x:c>
      <x:c r="Q112" t="n">
        <x:f>SUM(K112:P112)</x:f>
        <x:v>108</x:v>
      </x:c>
    </x:row>
    <x:row r="113">
      <x:c r="A113" t="n">
        <x:f>'원본_RankAiEncounter'!B108</x:f>
        <x:v>16</x:v>
      </x:c>
      <x:c r="B113" t="str">
        <x:f>'원본_RankAiEncounter'!C108</x:f>
        <x:v>Normal</x:v>
      </x:c>
      <x:c r="C113" t="str">
        <x:f>'원본_RankAiEncounter'!D108</x:f>
        <x:v>deck_08</x:v>
      </x:c>
      <x:c r="D113" t="n">
        <x:f>MAX(1,VLOOKUP(C113,'원본_AIDeck'!$B$2:$N$47,5,FALSE))</x:f>
        <x:v>1</x:v>
      </x:c>
      <x:c r="E113" t="n">
        <x:f>VLOOKUP(C113,'원본_AIDeck'!$B$2:$N$47,8,FALSE)</x:f>
        <x:v>5</x:v>
      </x:c>
      <x:c r="F113" t="n">
        <x:f>VLOOKUP(C113,'원본_AIDeck'!$B$2:$N$47,9,FALSE)</x:f>
        <x:v>6</x:v>
      </x:c>
      <x:c r="G113" t="n">
        <x:f>VLOOKUP(C113,'원본_AIDeck'!$B$2:$N$47,10,FALSE)</x:f>
        <x:v>33</x:v>
      </x:c>
      <x:c r="H113" t="n">
        <x:f>VLOOKUP(C113,'원본_AIDeck'!$B$2:$N$47,11,FALSE)</x:f>
        <x:v>28</x:v>
      </x:c>
      <x:c r="I113" t="n">
        <x:f>VLOOKUP(C113,'원본_AIDeck'!$B$2:$N$47,12,FALSE)</x:f>
        <x:v>12</x:v>
      </x:c>
      <x:c r="J113" t="n">
        <x:f>VLOOKUP(C113,'원본_AIDeck'!$B$2:$N$47,13,FALSE)</x:f>
        <x:v>10</x:v>
      </x:c>
      <x:c r="K113" t="n">
        <x:f>VLOOKUP(E113,'카드성장'!$A$7:$G$46,'원본_RankAiEncounter'!E108+2,FALSE)+SUMIF('원본_CardLimitBreak'!$B$2:$B$4,"&lt;="&amp;'원본_RankAiEncounter'!K108,'원본_CardLimitBreak'!$C$2:$C$4)</x:f>
        <x:v>22</x:v>
      </x:c>
      <x:c r="L113" t="n">
        <x:f>VLOOKUP(F113,'카드성장'!$A$7:$G$46,'원본_RankAiEncounter'!F108+2,FALSE)+SUMIF('원본_CardLimitBreak'!$B$2:$B$4,"&lt;="&amp;'원본_RankAiEncounter'!L108,'원본_CardLimitBreak'!$C$2:$C$4)</x:f>
        <x:v>20</x:v>
      </x:c>
      <x:c r="M113" t="n">
        <x:f>VLOOKUP(G113,'카드성장'!$A$7:$G$46,'원본_RankAiEncounter'!G108+2,FALSE)+SUMIF('원본_CardLimitBreak'!$B$2:$B$4,"&lt;="&amp;'원본_RankAiEncounter'!M108,'원본_CardLimitBreak'!$C$2:$C$4)</x:f>
        <x:v>16</x:v>
      </x:c>
      <x:c r="N113" t="n">
        <x:f>VLOOKUP(H113,'카드성장'!$A$7:$G$46,'원본_RankAiEncounter'!H108+2,FALSE)+SUMIF('원본_CardLimitBreak'!$B$2:$B$4,"&lt;="&amp;'원본_RankAiEncounter'!N108,'원본_CardLimitBreak'!$C$2:$C$4)</x:f>
        <x:v>20</x:v>
      </x:c>
      <x:c r="O113" t="n">
        <x:f>VLOOKUP(I113,'카드성장'!$A$7:$G$46,'원본_RankAiEncounter'!I108+2,FALSE)+SUMIF('원본_CardLimitBreak'!$B$2:$B$4,"&lt;="&amp;'원본_RankAiEncounter'!O108,'원본_CardLimitBreak'!$C$2:$C$4)</x:f>
        <x:v>20</x:v>
      </x:c>
      <x:c r="P113" t="n">
        <x:f>VLOOKUP(J113,'카드성장'!$A$7:$G$46,'원본_RankAiEncounter'!J108+2,FALSE)+SUMIF('원본_CardLimitBreak'!$B$2:$B$4,"&lt;="&amp;'원본_RankAiEncounter'!P108,'원본_CardLimitBreak'!$C$2:$C$4)</x:f>
        <x:v>19</x:v>
      </x:c>
      <x:c r="Q113" t="n">
        <x:f>SUM(K113:P113)</x:f>
        <x:v>117</x:v>
      </x:c>
    </x:row>
    <x:row r="114">
      <x:c r="A114" t="n">
        <x:f>'원본_RankAiEncounter'!B109</x:f>
        <x:v>16</x:v>
      </x:c>
      <x:c r="B114" t="str">
        <x:f>'원본_RankAiEncounter'!C109</x:f>
        <x:v>Normal</x:v>
      </x:c>
      <x:c r="C114" t="str">
        <x:f>'원본_RankAiEncounter'!D109</x:f>
        <x:v>deck_09</x:v>
      </x:c>
      <x:c r="D114" t="n">
        <x:f>MAX(1,VLOOKUP(C114,'원본_AIDeck'!$B$2:$N$47,5,FALSE))</x:f>
        <x:v>1</x:v>
      </x:c>
      <x:c r="E114" t="n">
        <x:f>VLOOKUP(C114,'원본_AIDeck'!$B$2:$N$47,8,FALSE)</x:f>
        <x:v>31</x:v>
      </x:c>
      <x:c r="F114" t="n">
        <x:f>VLOOKUP(C114,'원본_AIDeck'!$B$2:$N$47,9,FALSE)</x:f>
        <x:v>37</x:v>
      </x:c>
      <x:c r="G114" t="n">
        <x:f>VLOOKUP(C114,'원본_AIDeck'!$B$2:$N$47,10,FALSE)</x:f>
        <x:v>38</x:v>
      </x:c>
      <x:c r="H114" t="n">
        <x:f>VLOOKUP(C114,'원본_AIDeck'!$B$2:$N$47,11,FALSE)</x:f>
        <x:v>6</x:v>
      </x:c>
      <x:c r="I114" t="n">
        <x:f>VLOOKUP(C114,'원본_AIDeck'!$B$2:$N$47,12,FALSE)</x:f>
        <x:v>39</x:v>
      </x:c>
      <x:c r="J114" t="n">
        <x:f>VLOOKUP(C114,'원본_AIDeck'!$B$2:$N$47,13,FALSE)</x:f>
        <x:v>14</x:v>
      </x:c>
      <x:c r="K114" t="n">
        <x:f>VLOOKUP(E114,'카드성장'!$A$7:$G$46,'원본_RankAiEncounter'!E109+2,FALSE)+SUMIF('원본_CardLimitBreak'!$B$2:$B$4,"&lt;="&amp;'원본_RankAiEncounter'!K109,'원본_CardLimitBreak'!$C$2:$C$4)</x:f>
        <x:v>18</x:v>
      </x:c>
      <x:c r="L114" t="n">
        <x:f>VLOOKUP(F114,'카드성장'!$A$7:$G$46,'원본_RankAiEncounter'!F109+2,FALSE)+SUMIF('원본_CardLimitBreak'!$B$2:$B$4,"&lt;="&amp;'원본_RankAiEncounter'!L109,'원본_CardLimitBreak'!$C$2:$C$4)</x:f>
        <x:v>17</x:v>
      </x:c>
      <x:c r="M114" t="n">
        <x:f>VLOOKUP(G114,'카드성장'!$A$7:$G$46,'원본_RankAiEncounter'!G109+2,FALSE)+SUMIF('원본_CardLimitBreak'!$B$2:$B$4,"&lt;="&amp;'원본_RankAiEncounter'!M109,'원본_CardLimitBreak'!$C$2:$C$4)</x:f>
        <x:v>20</x:v>
      </x:c>
      <x:c r="N114" t="n">
        <x:f>VLOOKUP(H114,'카드성장'!$A$7:$G$46,'원본_RankAiEncounter'!H109+2,FALSE)+SUMIF('원본_CardLimitBreak'!$B$2:$B$4,"&lt;="&amp;'원본_RankAiEncounter'!N109,'원본_CardLimitBreak'!$C$2:$C$4)</x:f>
        <x:v>22</x:v>
      </x:c>
      <x:c r="O114" t="n">
        <x:f>VLOOKUP(I114,'카드성장'!$A$7:$G$46,'원본_RankAiEncounter'!I109+2,FALSE)+SUMIF('원본_CardLimitBreak'!$B$2:$B$4,"&lt;="&amp;'원본_RankAiEncounter'!O109,'원본_CardLimitBreak'!$C$2:$C$4)</x:f>
        <x:v>19</x:v>
      </x:c>
      <x:c r="P114" t="n">
        <x:f>VLOOKUP(J114,'카드성장'!$A$7:$G$46,'원본_RankAiEncounter'!J109+2,FALSE)+SUMIF('원본_CardLimitBreak'!$B$2:$B$4,"&lt;="&amp;'원본_RankAiEncounter'!P109,'원본_CardLimitBreak'!$C$2:$C$4)</x:f>
        <x:v>19</x:v>
      </x:c>
      <x:c r="Q114" t="n">
        <x:f>SUM(K114:P114)</x:f>
        <x:v>115</x:v>
      </x:c>
    </x:row>
    <x:row r="115">
      <x:c r="A115" t="n">
        <x:f>'원본_RankAiEncounter'!B110</x:f>
        <x:v>17</x:v>
      </x:c>
      <x:c r="B115" t="str">
        <x:f>'원본_RankAiEncounter'!C110</x:f>
        <x:v>Normal</x:v>
      </x:c>
      <x:c r="C115" t="str">
        <x:f>'원본_RankAiEncounter'!D110</x:f>
        <x:v>deck_01</x:v>
      </x:c>
      <x:c r="D115" t="n">
        <x:f>MAX(1,VLOOKUP(C115,'원본_AIDeck'!$B$2:$N$47,5,FALSE))</x:f>
        <x:v>1</x:v>
      </x:c>
      <x:c r="E115" t="n">
        <x:f>VLOOKUP(C115,'원본_AIDeck'!$B$2:$N$47,8,FALSE)</x:f>
        <x:v>20</x:v>
      </x:c>
      <x:c r="F115" t="n">
        <x:f>VLOOKUP(C115,'원본_AIDeck'!$B$2:$N$47,9,FALSE)</x:f>
        <x:v>18</x:v>
      </x:c>
      <x:c r="G115" t="n">
        <x:f>VLOOKUP(C115,'원본_AIDeck'!$B$2:$N$47,10,FALSE)</x:f>
        <x:v>19</x:v>
      </x:c>
      <x:c r="H115" t="n">
        <x:f>VLOOKUP(C115,'원본_AIDeck'!$B$2:$N$47,11,FALSE)</x:f>
        <x:v>6</x:v>
      </x:c>
      <x:c r="I115" t="n">
        <x:f>VLOOKUP(C115,'원본_AIDeck'!$B$2:$N$47,12,FALSE)</x:f>
        <x:v>13</x:v>
      </x:c>
      <x:c r="J115" t="n">
        <x:f>VLOOKUP(C115,'원본_AIDeck'!$B$2:$N$47,13,FALSE)</x:f>
        <x:v>14</x:v>
      </x:c>
      <x:c r="K115" t="n">
        <x:f>VLOOKUP(E115,'카드성장'!$A$7:$G$46,'원본_RankAiEncounter'!E110+2,FALSE)+SUMIF('원본_CardLimitBreak'!$B$2:$B$4,"&lt;="&amp;'원본_RankAiEncounter'!K110,'원본_CardLimitBreak'!$C$2:$C$4)</x:f>
        <x:v>21</x:v>
      </x:c>
      <x:c r="L115" t="n">
        <x:f>VLOOKUP(F115,'카드성장'!$A$7:$G$46,'원본_RankAiEncounter'!F110+2,FALSE)+SUMIF('원본_CardLimitBreak'!$B$2:$B$4,"&lt;="&amp;'원본_RankAiEncounter'!L110,'원본_CardLimitBreak'!$C$2:$C$4)</x:f>
        <x:v>15</x:v>
      </x:c>
      <x:c r="M115" t="n">
        <x:f>VLOOKUP(G115,'카드성장'!$A$7:$G$46,'원본_RankAiEncounter'!G110+2,FALSE)+SUMIF('원본_CardLimitBreak'!$B$2:$B$4,"&lt;="&amp;'원본_RankAiEncounter'!M110,'원본_CardLimitBreak'!$C$2:$C$4)</x:f>
        <x:v>19</x:v>
      </x:c>
      <x:c r="N115" t="n">
        <x:f>VLOOKUP(H115,'카드성장'!$A$7:$G$46,'원본_RankAiEncounter'!H110+2,FALSE)+SUMIF('원본_CardLimitBreak'!$B$2:$B$4,"&lt;="&amp;'원본_RankAiEncounter'!N110,'원본_CardLimitBreak'!$C$2:$C$4)</x:f>
        <x:v>21</x:v>
      </x:c>
      <x:c r="O115" t="n">
        <x:f>VLOOKUP(I115,'카드성장'!$A$7:$G$46,'원본_RankAiEncounter'!I110+2,FALSE)+SUMIF('원본_CardLimitBreak'!$B$2:$B$4,"&lt;="&amp;'원본_RankAiEncounter'!O110,'원본_CardLimitBreak'!$C$2:$C$4)</x:f>
        <x:v>18</x:v>
      </x:c>
      <x:c r="P115" t="n">
        <x:f>VLOOKUP(J115,'카드성장'!$A$7:$G$46,'원본_RankAiEncounter'!J110+2,FALSE)+SUMIF('원본_CardLimitBreak'!$B$2:$B$4,"&lt;="&amp;'원본_RankAiEncounter'!P110,'원본_CardLimitBreak'!$C$2:$C$4)</x:f>
        <x:v>20</x:v>
      </x:c>
      <x:c r="Q115" t="n">
        <x:f>SUM(K115:P115)</x:f>
        <x:v>114</x:v>
      </x:c>
    </x:row>
    <x:row r="116">
      <x:c r="A116" t="n">
        <x:f>'원본_RankAiEncounter'!B111</x:f>
        <x:v>17</x:v>
      </x:c>
      <x:c r="B116" t="str">
        <x:f>'원본_RankAiEncounter'!C111</x:f>
        <x:v>Normal</x:v>
      </x:c>
      <x:c r="C116" t="str">
        <x:f>'원본_RankAiEncounter'!D111</x:f>
        <x:v>deck_02</x:v>
      </x:c>
      <x:c r="D116" t="n">
        <x:f>MAX(1,VLOOKUP(C116,'원본_AIDeck'!$B$2:$N$47,5,FALSE))</x:f>
        <x:v>1</x:v>
      </x:c>
      <x:c r="E116" t="n">
        <x:f>VLOOKUP(C116,'원본_AIDeck'!$B$2:$N$47,8,FALSE)</x:f>
        <x:v>20</x:v>
      </x:c>
      <x:c r="F116" t="n">
        <x:f>VLOOKUP(C116,'원본_AIDeck'!$B$2:$N$47,9,FALSE)</x:f>
        <x:v>18</x:v>
      </x:c>
      <x:c r="G116" t="n">
        <x:f>VLOOKUP(C116,'원본_AIDeck'!$B$2:$N$47,10,FALSE)</x:f>
        <x:v>19</x:v>
      </x:c>
      <x:c r="H116" t="n">
        <x:f>VLOOKUP(C116,'원본_AIDeck'!$B$2:$N$47,11,FALSE)</x:f>
        <x:v>4</x:v>
      </x:c>
      <x:c r="I116" t="n">
        <x:f>VLOOKUP(C116,'원본_AIDeck'!$B$2:$N$47,12,FALSE)</x:f>
        <x:v>37</x:v>
      </x:c>
      <x:c r="J116" t="n">
        <x:f>VLOOKUP(C116,'원본_AIDeck'!$B$2:$N$47,13,FALSE)</x:f>
        <x:v>31</x:v>
      </x:c>
      <x:c r="K116" t="n">
        <x:f>VLOOKUP(E116,'카드성장'!$A$7:$G$46,'원본_RankAiEncounter'!E111+2,FALSE)+SUMIF('원본_CardLimitBreak'!$B$2:$B$4,"&lt;="&amp;'원본_RankAiEncounter'!K111,'원본_CardLimitBreak'!$C$2:$C$4)</x:f>
        <x:v>21</x:v>
      </x:c>
      <x:c r="L116" t="n">
        <x:f>VLOOKUP(F116,'카드성장'!$A$7:$G$46,'원본_RankAiEncounter'!F111+2,FALSE)+SUMIF('원본_CardLimitBreak'!$B$2:$B$4,"&lt;="&amp;'원본_RankAiEncounter'!L111,'원본_CardLimitBreak'!$C$2:$C$4)</x:f>
        <x:v>15</x:v>
      </x:c>
      <x:c r="M116" t="n">
        <x:f>VLOOKUP(G116,'카드성장'!$A$7:$G$46,'원본_RankAiEncounter'!G111+2,FALSE)+SUMIF('원본_CardLimitBreak'!$B$2:$B$4,"&lt;="&amp;'원본_RankAiEncounter'!M111,'원본_CardLimitBreak'!$C$2:$C$4)</x:f>
        <x:v>19</x:v>
      </x:c>
      <x:c r="N116" t="n">
        <x:f>VLOOKUP(H116,'카드성장'!$A$7:$G$46,'원본_RankAiEncounter'!H111+2,FALSE)+SUMIF('원본_CardLimitBreak'!$B$2:$B$4,"&lt;="&amp;'원본_RankAiEncounter'!N111,'원본_CardLimitBreak'!$C$2:$C$4)</x:f>
        <x:v>19</x:v>
      </x:c>
      <x:c r="O116" t="n">
        <x:f>VLOOKUP(I116,'카드성장'!$A$7:$G$46,'원본_RankAiEncounter'!I111+2,FALSE)+SUMIF('원본_CardLimitBreak'!$B$2:$B$4,"&lt;="&amp;'원본_RankAiEncounter'!O111,'원본_CardLimitBreak'!$C$2:$C$4)</x:f>
        <x:v>20</x:v>
      </x:c>
      <x:c r="P116" t="n">
        <x:f>VLOOKUP(J116,'카드성장'!$A$7:$G$46,'원본_RankAiEncounter'!J111+2,FALSE)+SUMIF('원본_CardLimitBreak'!$B$2:$B$4,"&lt;="&amp;'원본_RankAiEncounter'!P111,'원본_CardLimitBreak'!$C$2:$C$4)</x:f>
        <x:v>19</x:v>
      </x:c>
      <x:c r="Q116" t="n">
        <x:f>SUM(K116:P116)</x:f>
        <x:v>113</x:v>
      </x:c>
    </x:row>
    <x:row r="117">
      <x:c r="A117" t="n">
        <x:f>'원본_RankAiEncounter'!B112</x:f>
        <x:v>17</x:v>
      </x:c>
      <x:c r="B117" t="str">
        <x:f>'원본_RankAiEncounter'!C112</x:f>
        <x:v>Normal</x:v>
      </x:c>
      <x:c r="C117" t="str">
        <x:f>'원본_RankAiEncounter'!D112</x:f>
        <x:v>deck_03</x:v>
      </x:c>
      <x:c r="D117" t="n">
        <x:f>MAX(1,VLOOKUP(C117,'원본_AIDeck'!$B$2:$N$47,5,FALSE))</x:f>
        <x:v>1</x:v>
      </x:c>
      <x:c r="E117" t="n">
        <x:f>VLOOKUP(C117,'원본_AIDeck'!$B$2:$N$47,8,FALSE)</x:f>
        <x:v>4</x:v>
      </x:c>
      <x:c r="F117" t="n">
        <x:f>VLOOKUP(C117,'원본_AIDeck'!$B$2:$N$47,9,FALSE)</x:f>
        <x:v>2</x:v>
      </x:c>
      <x:c r="G117" t="n">
        <x:f>VLOOKUP(C117,'원본_AIDeck'!$B$2:$N$47,10,FALSE)</x:f>
        <x:v>1</x:v>
      </x:c>
      <x:c r="H117" t="n">
        <x:f>VLOOKUP(C117,'원본_AIDeck'!$B$2:$N$47,11,FALSE)</x:f>
        <x:v>6</x:v>
      </x:c>
      <x:c r="I117" t="n">
        <x:f>VLOOKUP(C117,'원본_AIDeck'!$B$2:$N$47,12,FALSE)</x:f>
        <x:v>28</x:v>
      </x:c>
      <x:c r="J117" t="n">
        <x:f>VLOOKUP(C117,'원본_AIDeck'!$B$2:$N$47,13,FALSE)</x:f>
        <x:v>12</x:v>
      </x:c>
      <x:c r="K117" t="n">
        <x:f>VLOOKUP(E117,'카드성장'!$A$7:$G$46,'원본_RankAiEncounter'!E112+2,FALSE)+SUMIF('원본_CardLimitBreak'!$B$2:$B$4,"&lt;="&amp;'원본_RankAiEncounter'!K112,'원본_CardLimitBreak'!$C$2:$C$4)</x:f>
        <x:v>21</x:v>
      </x:c>
      <x:c r="L117" t="n">
        <x:f>VLOOKUP(F117,'카드성장'!$A$7:$G$46,'원본_RankAiEncounter'!F112+2,FALSE)+SUMIF('원본_CardLimitBreak'!$B$2:$B$4,"&lt;="&amp;'원본_RankAiEncounter'!L112,'원본_CardLimitBreak'!$C$2:$C$4)</x:f>
        <x:v>17</x:v>
      </x:c>
      <x:c r="M117" t="n">
        <x:f>VLOOKUP(G117,'카드성장'!$A$7:$G$46,'원본_RankAiEncounter'!G112+2,FALSE)+SUMIF('원본_CardLimitBreak'!$B$2:$B$4,"&lt;="&amp;'원본_RankAiEncounter'!M112,'원본_CardLimitBreak'!$C$2:$C$4)</x:f>
        <x:v>15</x:v>
      </x:c>
      <x:c r="N117" t="n">
        <x:f>VLOOKUP(H117,'카드성장'!$A$7:$G$46,'원본_RankAiEncounter'!H112+2,FALSE)+SUMIF('원본_CardLimitBreak'!$B$2:$B$4,"&lt;="&amp;'원본_RankAiEncounter'!N112,'원본_CardLimitBreak'!$C$2:$C$4)</x:f>
        <x:v>21</x:v>
      </x:c>
      <x:c r="O117" t="n">
        <x:f>VLOOKUP(I117,'카드성장'!$A$7:$G$46,'원본_RankAiEncounter'!I112+2,FALSE)+SUMIF('원본_CardLimitBreak'!$B$2:$B$4,"&lt;="&amp;'원본_RankAiEncounter'!O112,'원본_CardLimitBreak'!$C$2:$C$4)</x:f>
        <x:v>21</x:v>
      </x:c>
      <x:c r="P117" t="n">
        <x:f>VLOOKUP(J117,'카드성장'!$A$7:$G$46,'원본_RankAiEncounter'!J112+2,FALSE)+SUMIF('원본_CardLimitBreak'!$B$2:$B$4,"&lt;="&amp;'원본_RankAiEncounter'!P112,'원본_CardLimitBreak'!$C$2:$C$4)</x:f>
        <x:v>21</x:v>
      </x:c>
      <x:c r="Q117" t="n">
        <x:f>SUM(K117:P117)</x:f>
        <x:v>116</x:v>
      </x:c>
    </x:row>
    <x:row r="118">
      <x:c r="A118" t="n">
        <x:f>'원본_RankAiEncounter'!B113</x:f>
        <x:v>17</x:v>
      </x:c>
      <x:c r="B118" t="str">
        <x:f>'원본_RankAiEncounter'!C113</x:f>
        <x:v>Normal</x:v>
      </x:c>
      <x:c r="C118" t="str">
        <x:f>'원본_RankAiEncounter'!D113</x:f>
        <x:v>deck_04</x:v>
      </x:c>
      <x:c r="D118" t="n">
        <x:f>MAX(1,VLOOKUP(C118,'원본_AIDeck'!$B$2:$N$47,5,FALSE))</x:f>
        <x:v>1</x:v>
      </x:c>
      <x:c r="E118" t="n">
        <x:f>VLOOKUP(C118,'원본_AIDeck'!$B$2:$N$47,8,FALSE)</x:f>
        <x:v>4</x:v>
      </x:c>
      <x:c r="F118" t="n">
        <x:f>VLOOKUP(C118,'원본_AIDeck'!$B$2:$N$47,9,FALSE)</x:f>
        <x:v>2</x:v>
      </x:c>
      <x:c r="G118" t="n">
        <x:f>VLOOKUP(C118,'원본_AIDeck'!$B$2:$N$47,10,FALSE)</x:f>
        <x:v>32</x:v>
      </x:c>
      <x:c r="H118" t="n">
        <x:f>VLOOKUP(C118,'원본_AIDeck'!$B$2:$N$47,11,FALSE)</x:f>
        <x:v>27</x:v>
      </x:c>
      <x:c r="I118" t="n">
        <x:f>VLOOKUP(C118,'원본_AIDeck'!$B$2:$N$47,12,FALSE)</x:f>
        <x:v>6</x:v>
      </x:c>
      <x:c r="J118" t="n">
        <x:f>VLOOKUP(C118,'원본_AIDeck'!$B$2:$N$47,13,FALSE)</x:f>
        <x:v>38</x:v>
      </x:c>
      <x:c r="K118" t="n">
        <x:f>VLOOKUP(E118,'카드성장'!$A$7:$G$46,'원본_RankAiEncounter'!E113+2,FALSE)+SUMIF('원본_CardLimitBreak'!$B$2:$B$4,"&lt;="&amp;'원본_RankAiEncounter'!K113,'원본_CardLimitBreak'!$C$2:$C$4)</x:f>
        <x:v>21</x:v>
      </x:c>
      <x:c r="L118" t="n">
        <x:f>VLOOKUP(F118,'카드성장'!$A$7:$G$46,'원본_RankAiEncounter'!F113+2,FALSE)+SUMIF('원본_CardLimitBreak'!$B$2:$B$4,"&lt;="&amp;'원본_RankAiEncounter'!L113,'원본_CardLimitBreak'!$C$2:$C$4)</x:f>
        <x:v>17</x:v>
      </x:c>
      <x:c r="M118" t="n">
        <x:f>VLOOKUP(G118,'카드성장'!$A$7:$G$46,'원본_RankAiEncounter'!G113+2,FALSE)+SUMIF('원본_CardLimitBreak'!$B$2:$B$4,"&lt;="&amp;'원본_RankAiEncounter'!M113,'원본_CardLimitBreak'!$C$2:$C$4)</x:f>
        <x:v>18</x:v>
      </x:c>
      <x:c r="N118" t="n">
        <x:f>VLOOKUP(H118,'카드성장'!$A$7:$G$46,'원본_RankAiEncounter'!H113+2,FALSE)+SUMIF('원본_CardLimitBreak'!$B$2:$B$4,"&lt;="&amp;'원본_RankAiEncounter'!N113,'원본_CardLimitBreak'!$C$2:$C$4)</x:f>
        <x:v>16</x:v>
      </x:c>
      <x:c r="O118" t="n">
        <x:f>VLOOKUP(I118,'카드성장'!$A$7:$G$46,'원본_RankAiEncounter'!I113+2,FALSE)+SUMIF('원본_CardLimitBreak'!$B$2:$B$4,"&lt;="&amp;'원본_RankAiEncounter'!O113,'원본_CardLimitBreak'!$C$2:$C$4)</x:f>
        <x:v>21</x:v>
      </x:c>
      <x:c r="P118" t="n">
        <x:f>VLOOKUP(J118,'카드성장'!$A$7:$G$46,'원본_RankAiEncounter'!J113+2,FALSE)+SUMIF('원본_CardLimitBreak'!$B$2:$B$4,"&lt;="&amp;'원본_RankAiEncounter'!P113,'원본_CardLimitBreak'!$C$2:$C$4)</x:f>
        <x:v>21</x:v>
      </x:c>
      <x:c r="Q118" t="n">
        <x:f>SUM(K118:P118)</x:f>
        <x:v>114</x:v>
      </x:c>
    </x:row>
    <x:row r="119">
      <x:c r="A119" t="n">
        <x:f>'원본_RankAiEncounter'!B114</x:f>
        <x:v>17</x:v>
      </x:c>
      <x:c r="B119" t="str">
        <x:f>'원본_RankAiEncounter'!C114</x:f>
        <x:v>Normal</x:v>
      </x:c>
      <x:c r="C119" t="str">
        <x:f>'원본_RankAiEncounter'!D114</x:f>
        <x:v>deck_05</x:v>
      </x:c>
      <x:c r="D119" t="n">
        <x:f>MAX(1,VLOOKUP(C119,'원본_AIDeck'!$B$2:$N$47,5,FALSE))</x:f>
        <x:v>1</x:v>
      </x:c>
      <x:c r="E119" t="n">
        <x:f>VLOOKUP(C119,'원본_AIDeck'!$B$2:$N$47,8,FALSE)</x:f>
        <x:v>15</x:v>
      </x:c>
      <x:c r="F119" t="n">
        <x:f>VLOOKUP(C119,'원본_AIDeck'!$B$2:$N$47,9,FALSE)</x:f>
        <x:v>16</x:v>
      </x:c>
      <x:c r="G119" t="n">
        <x:f>VLOOKUP(C119,'원본_AIDeck'!$B$2:$N$47,10,FALSE)</x:f>
        <x:v>25</x:v>
      </x:c>
      <x:c r="H119" t="n">
        <x:f>VLOOKUP(C119,'원본_AIDeck'!$B$2:$N$47,11,FALSE)</x:f>
        <x:v>20</x:v>
      </x:c>
      <x:c r="I119" t="n">
        <x:f>VLOOKUP(C119,'원본_AIDeck'!$B$2:$N$47,12,FALSE)</x:f>
        <x:v>29</x:v>
      </x:c>
      <x:c r="J119" t="n">
        <x:f>VLOOKUP(C119,'원본_AIDeck'!$B$2:$N$47,13,FALSE)</x:f>
        <x:v>37</x:v>
      </x:c>
      <x:c r="K119" t="n">
        <x:f>VLOOKUP(E119,'카드성장'!$A$7:$G$46,'원본_RankAiEncounter'!E114+2,FALSE)+SUMIF('원본_CardLimitBreak'!$B$2:$B$4,"&lt;="&amp;'원본_RankAiEncounter'!K114,'원본_CardLimitBreak'!$C$2:$C$4)</x:f>
        <x:v>18</x:v>
      </x:c>
      <x:c r="L119" t="n">
        <x:f>VLOOKUP(F119,'카드성장'!$A$7:$G$46,'원본_RankAiEncounter'!F114+2,FALSE)+SUMIF('원본_CardLimitBreak'!$B$2:$B$4,"&lt;="&amp;'원본_RankAiEncounter'!L114,'원본_CardLimitBreak'!$C$2:$C$4)</x:f>
        <x:v>15</x:v>
      </x:c>
      <x:c r="M119" t="n">
        <x:f>VLOOKUP(G119,'카드성장'!$A$7:$G$46,'원본_RankAiEncounter'!G114+2,FALSE)+SUMIF('원본_CardLimitBreak'!$B$2:$B$4,"&lt;="&amp;'원본_RankAiEncounter'!M114,'원본_CardLimitBreak'!$C$2:$C$4)</x:f>
        <x:v>20</x:v>
      </x:c>
      <x:c r="N119" t="n">
        <x:f>VLOOKUP(H119,'카드성장'!$A$7:$G$46,'원본_RankAiEncounter'!H114+2,FALSE)+SUMIF('원본_CardLimitBreak'!$B$2:$B$4,"&lt;="&amp;'원본_RankAiEncounter'!N114,'원본_CardLimitBreak'!$C$2:$C$4)</x:f>
        <x:v>19</x:v>
      </x:c>
      <x:c r="O119" t="n">
        <x:f>VLOOKUP(I119,'카드성장'!$A$7:$G$46,'원본_RankAiEncounter'!I114+2,FALSE)+SUMIF('원본_CardLimitBreak'!$B$2:$B$4,"&lt;="&amp;'원본_RankAiEncounter'!O114,'원본_CardLimitBreak'!$C$2:$C$4)</x:f>
        <x:v>19</x:v>
      </x:c>
      <x:c r="P119" t="n">
        <x:f>VLOOKUP(J119,'카드성장'!$A$7:$G$46,'원본_RankAiEncounter'!J114+2,FALSE)+SUMIF('원본_CardLimitBreak'!$B$2:$B$4,"&lt;="&amp;'원본_RankAiEncounter'!P114,'원본_CardLimitBreak'!$C$2:$C$4)</x:f>
        <x:v>18</x:v>
      </x:c>
      <x:c r="Q119" t="n">
        <x:f>SUM(K119:P119)</x:f>
        <x:v>109</x:v>
      </x:c>
    </x:row>
    <x:row r="120">
      <x:c r="A120" t="n">
        <x:f>'원본_RankAiEncounter'!B115</x:f>
        <x:v>17</x:v>
      </x:c>
      <x:c r="B120" t="str">
        <x:f>'원본_RankAiEncounter'!C115</x:f>
        <x:v>Normal</x:v>
      </x:c>
      <x:c r="C120" t="str">
        <x:f>'원본_RankAiEncounter'!D115</x:f>
        <x:v>deck_06</x:v>
      </x:c>
      <x:c r="D120" t="n">
        <x:f>MAX(1,VLOOKUP(C120,'원본_AIDeck'!$B$2:$N$47,5,FALSE))</x:f>
        <x:v>1</x:v>
      </x:c>
      <x:c r="E120" t="n">
        <x:f>VLOOKUP(C120,'원본_AIDeck'!$B$2:$N$47,8,FALSE)</x:f>
        <x:v>15</x:v>
      </x:c>
      <x:c r="F120" t="n">
        <x:f>VLOOKUP(C120,'원본_AIDeck'!$B$2:$N$47,9,FALSE)</x:f>
        <x:v>16</x:v>
      </x:c>
      <x:c r="G120" t="n">
        <x:f>VLOOKUP(C120,'원본_AIDeck'!$B$2:$N$47,10,FALSE)</x:f>
        <x:v>25</x:v>
      </x:c>
      <x:c r="H120" t="n">
        <x:f>VLOOKUP(C120,'원본_AIDeck'!$B$2:$N$47,11,FALSE)</x:f>
        <x:v>20</x:v>
      </x:c>
      <x:c r="I120" t="n">
        <x:f>VLOOKUP(C120,'원본_AIDeck'!$B$2:$N$47,12,FALSE)</x:f>
        <x:v>6</x:v>
      </x:c>
      <x:c r="J120" t="n">
        <x:f>VLOOKUP(C120,'원본_AIDeck'!$B$2:$N$47,13,FALSE)</x:f>
        <x:v>38</x:v>
      </x:c>
      <x:c r="K120" t="n">
        <x:f>VLOOKUP(E120,'카드성장'!$A$7:$G$46,'원본_RankAiEncounter'!E115+2,FALSE)+SUMIF('원본_CardLimitBreak'!$B$2:$B$4,"&lt;="&amp;'원본_RankAiEncounter'!K115,'원본_CardLimitBreak'!$C$2:$C$4)</x:f>
        <x:v>18</x:v>
      </x:c>
      <x:c r="L120" t="n">
        <x:f>VLOOKUP(F120,'카드성장'!$A$7:$G$46,'원본_RankAiEncounter'!F115+2,FALSE)+SUMIF('원본_CardLimitBreak'!$B$2:$B$4,"&lt;="&amp;'원본_RankAiEncounter'!L115,'원본_CardLimitBreak'!$C$2:$C$4)</x:f>
        <x:v>15</x:v>
      </x:c>
      <x:c r="M120" t="n">
        <x:f>VLOOKUP(G120,'카드성장'!$A$7:$G$46,'원본_RankAiEncounter'!G115+2,FALSE)+SUMIF('원본_CardLimitBreak'!$B$2:$B$4,"&lt;="&amp;'원본_RankAiEncounter'!M115,'원본_CardLimitBreak'!$C$2:$C$4)</x:f>
        <x:v>20</x:v>
      </x:c>
      <x:c r="N120" t="n">
        <x:f>VLOOKUP(H120,'카드성장'!$A$7:$G$46,'원본_RankAiEncounter'!H115+2,FALSE)+SUMIF('원본_CardLimitBreak'!$B$2:$B$4,"&lt;="&amp;'원본_RankAiEncounter'!N115,'원본_CardLimitBreak'!$C$2:$C$4)</x:f>
        <x:v>19</x:v>
      </x:c>
      <x:c r="O120" t="n">
        <x:f>VLOOKUP(I120,'카드성장'!$A$7:$G$46,'원본_RankAiEncounter'!I115+2,FALSE)+SUMIF('원본_CardLimitBreak'!$B$2:$B$4,"&lt;="&amp;'원본_RankAiEncounter'!O115,'원본_CardLimitBreak'!$C$2:$C$4)</x:f>
        <x:v>21</x:v>
      </x:c>
      <x:c r="P120" t="n">
        <x:f>VLOOKUP(J120,'카드성장'!$A$7:$G$46,'원본_RankAiEncounter'!J115+2,FALSE)+SUMIF('원본_CardLimitBreak'!$B$2:$B$4,"&lt;="&amp;'원본_RankAiEncounter'!P115,'원본_CardLimitBreak'!$C$2:$C$4)</x:f>
        <x:v>21</x:v>
      </x:c>
      <x:c r="Q120" t="n">
        <x:f>SUM(K120:P120)</x:f>
        <x:v>114</x:v>
      </x:c>
    </x:row>
    <x:row r="121">
      <x:c r="A121" t="n">
        <x:f>'원본_RankAiEncounter'!B116</x:f>
        <x:v>17</x:v>
      </x:c>
      <x:c r="B121" t="str">
        <x:f>'원본_RankAiEncounter'!C116</x:f>
        <x:v>Normal</x:v>
      </x:c>
      <x:c r="C121" t="str">
        <x:f>'원본_RankAiEncounter'!D116</x:f>
        <x:v>deck_07</x:v>
      </x:c>
      <x:c r="D121" t="n">
        <x:f>MAX(1,VLOOKUP(C121,'원본_AIDeck'!$B$2:$N$47,5,FALSE))</x:f>
        <x:v>1</x:v>
      </x:c>
      <x:c r="E121" t="n">
        <x:f>VLOOKUP(C121,'원본_AIDeck'!$B$2:$N$47,8,FALSE)</x:f>
        <x:v>8</x:v>
      </x:c>
      <x:c r="F121" t="n">
        <x:f>VLOOKUP(C121,'원본_AIDeck'!$B$2:$N$47,9,FALSE)</x:f>
        <x:v>9</x:v>
      </x:c>
      <x:c r="G121" t="n">
        <x:f>VLOOKUP(C121,'원본_AIDeck'!$B$2:$N$47,10,FALSE)</x:f>
        <x:v>10</x:v>
      </x:c>
      <x:c r="H121" t="n">
        <x:f>VLOOKUP(C121,'원본_AIDeck'!$B$2:$N$47,11,FALSE)</x:f>
        <x:v>20</x:v>
      </x:c>
      <x:c r="I121" t="n">
        <x:f>VLOOKUP(C121,'원본_AIDeck'!$B$2:$N$47,12,FALSE)</x:f>
        <x:v>6</x:v>
      </x:c>
      <x:c r="J121" t="n">
        <x:f>VLOOKUP(C121,'원본_AIDeck'!$B$2:$N$47,13,FALSE)</x:f>
        <x:v>27</x:v>
      </x:c>
      <x:c r="K121" t="n">
        <x:f>VLOOKUP(E121,'카드성장'!$A$7:$G$46,'원본_RankAiEncounter'!E116+2,FALSE)+SUMIF('원본_CardLimitBreak'!$B$2:$B$4,"&lt;="&amp;'원본_RankAiEncounter'!K116,'원본_CardLimitBreak'!$C$2:$C$4)</x:f>
        <x:v>19</x:v>
      </x:c>
      <x:c r="L121" t="n">
        <x:f>VLOOKUP(F121,'카드성장'!$A$7:$G$46,'원본_RankAiEncounter'!F116+2,FALSE)+SUMIF('원본_CardLimitBreak'!$B$2:$B$4,"&lt;="&amp;'원본_RankAiEncounter'!L116,'원본_CardLimitBreak'!$C$2:$C$4)</x:f>
        <x:v>17</x:v>
      </x:c>
      <x:c r="M121" t="n">
        <x:f>VLOOKUP(G121,'카드성장'!$A$7:$G$46,'원본_RankAiEncounter'!G116+2,FALSE)+SUMIF('원본_CardLimitBreak'!$B$2:$B$4,"&lt;="&amp;'원본_RankAiEncounter'!M116,'원본_CardLimitBreak'!$C$2:$C$4)</x:f>
        <x:v>20</x:v>
      </x:c>
      <x:c r="N121" t="n">
        <x:f>VLOOKUP(H121,'카드성장'!$A$7:$G$46,'원본_RankAiEncounter'!H116+2,FALSE)+SUMIF('원본_CardLimitBreak'!$B$2:$B$4,"&lt;="&amp;'원본_RankAiEncounter'!N116,'원본_CardLimitBreak'!$C$2:$C$4)</x:f>
        <x:v>21</x:v>
      </x:c>
      <x:c r="O121" t="n">
        <x:f>VLOOKUP(I121,'카드성장'!$A$7:$G$46,'원본_RankAiEncounter'!I116+2,FALSE)+SUMIF('원본_CardLimitBreak'!$B$2:$B$4,"&lt;="&amp;'원본_RankAiEncounter'!O116,'원본_CardLimitBreak'!$C$2:$C$4)</x:f>
        <x:v>21</x:v>
      </x:c>
      <x:c r="P121" t="n">
        <x:f>VLOOKUP(J121,'카드성장'!$A$7:$G$46,'원본_RankAiEncounter'!J116+2,FALSE)+SUMIF('원본_CardLimitBreak'!$B$2:$B$4,"&lt;="&amp;'원본_RankAiEncounter'!P116,'원본_CardLimitBreak'!$C$2:$C$4)</x:f>
        <x:v>16</x:v>
      </x:c>
      <x:c r="Q121" t="n">
        <x:f>SUM(K121:P121)</x:f>
        <x:v>114</x:v>
      </x:c>
    </x:row>
    <x:row r="122">
      <x:c r="A122" t="n">
        <x:f>'원본_RankAiEncounter'!B117</x:f>
        <x:v>17</x:v>
      </x:c>
      <x:c r="B122" t="str">
        <x:f>'원본_RankAiEncounter'!C117</x:f>
        <x:v>Normal</x:v>
      </x:c>
      <x:c r="C122" t="str">
        <x:f>'원본_RankAiEncounter'!D117</x:f>
        <x:v>deck_08</x:v>
      </x:c>
      <x:c r="D122" t="n">
        <x:f>MAX(1,VLOOKUP(C122,'원본_AIDeck'!$B$2:$N$47,5,FALSE))</x:f>
        <x:v>1</x:v>
      </x:c>
      <x:c r="E122" t="n">
        <x:f>VLOOKUP(C122,'원본_AIDeck'!$B$2:$N$47,8,FALSE)</x:f>
        <x:v>5</x:v>
      </x:c>
      <x:c r="F122" t="n">
        <x:f>VLOOKUP(C122,'원본_AIDeck'!$B$2:$N$47,9,FALSE)</x:f>
        <x:v>6</x:v>
      </x:c>
      <x:c r="G122" t="n">
        <x:f>VLOOKUP(C122,'원본_AIDeck'!$B$2:$N$47,10,FALSE)</x:f>
        <x:v>33</x:v>
      </x:c>
      <x:c r="H122" t="n">
        <x:f>VLOOKUP(C122,'원본_AIDeck'!$B$2:$N$47,11,FALSE)</x:f>
        <x:v>28</x:v>
      </x:c>
      <x:c r="I122" t="n">
        <x:f>VLOOKUP(C122,'원본_AIDeck'!$B$2:$N$47,12,FALSE)</x:f>
        <x:v>12</x:v>
      </x:c>
      <x:c r="J122" t="n">
        <x:f>VLOOKUP(C122,'원본_AIDeck'!$B$2:$N$47,13,FALSE)</x:f>
        <x:v>10</x:v>
      </x:c>
      <x:c r="K122" t="n">
        <x:f>VLOOKUP(E122,'카드성장'!$A$7:$G$46,'원본_RankAiEncounter'!E117+2,FALSE)+SUMIF('원본_CardLimitBreak'!$B$2:$B$4,"&lt;="&amp;'원본_RankAiEncounter'!K117,'원본_CardLimitBreak'!$C$2:$C$4)</x:f>
        <x:v>23</x:v>
      </x:c>
      <x:c r="L122" t="n">
        <x:f>VLOOKUP(F122,'카드성장'!$A$7:$G$46,'원본_RankAiEncounter'!F117+2,FALSE)+SUMIF('원본_CardLimitBreak'!$B$2:$B$4,"&lt;="&amp;'원본_RankAiEncounter'!L117,'원본_CardLimitBreak'!$C$2:$C$4)</x:f>
        <x:v>21</x:v>
      </x:c>
      <x:c r="M122" t="n">
        <x:f>VLOOKUP(G122,'카드성장'!$A$7:$G$46,'원본_RankAiEncounter'!G117+2,FALSE)+SUMIF('원본_CardLimitBreak'!$B$2:$B$4,"&lt;="&amp;'원본_RankAiEncounter'!M117,'원본_CardLimitBreak'!$C$2:$C$4)</x:f>
        <x:v>17</x:v>
      </x:c>
      <x:c r="N122" t="n">
        <x:f>VLOOKUP(H122,'카드성장'!$A$7:$G$46,'원본_RankAiEncounter'!H117+2,FALSE)+SUMIF('원본_CardLimitBreak'!$B$2:$B$4,"&lt;="&amp;'원본_RankAiEncounter'!N117,'원본_CardLimitBreak'!$C$2:$C$4)</x:f>
        <x:v>21</x:v>
      </x:c>
      <x:c r="O122" t="n">
        <x:f>VLOOKUP(I122,'카드성장'!$A$7:$G$46,'원본_RankAiEncounter'!I117+2,FALSE)+SUMIF('원본_CardLimitBreak'!$B$2:$B$4,"&lt;="&amp;'원본_RankAiEncounter'!O117,'원본_CardLimitBreak'!$C$2:$C$4)</x:f>
        <x:v>21</x:v>
      </x:c>
      <x:c r="P122" t="n">
        <x:f>VLOOKUP(J122,'카드성장'!$A$7:$G$46,'원본_RankAiEncounter'!J117+2,FALSE)+SUMIF('원본_CardLimitBreak'!$B$2:$B$4,"&lt;="&amp;'원본_RankAiEncounter'!P117,'원본_CardLimitBreak'!$C$2:$C$4)</x:f>
        <x:v>20</x:v>
      </x:c>
      <x:c r="Q122" t="n">
        <x:f>SUM(K122:P122)</x:f>
        <x:v>123</x:v>
      </x:c>
    </x:row>
    <x:row r="123">
      <x:c r="A123" t="n">
        <x:f>'원본_RankAiEncounter'!B118</x:f>
        <x:v>17</x:v>
      </x:c>
      <x:c r="B123" t="str">
        <x:f>'원본_RankAiEncounter'!C118</x:f>
        <x:v>Normal</x:v>
      </x:c>
      <x:c r="C123" t="str">
        <x:f>'원본_RankAiEncounter'!D118</x:f>
        <x:v>deck_09</x:v>
      </x:c>
      <x:c r="D123" t="n">
        <x:f>MAX(1,VLOOKUP(C123,'원본_AIDeck'!$B$2:$N$47,5,FALSE))</x:f>
        <x:v>1</x:v>
      </x:c>
      <x:c r="E123" t="n">
        <x:f>VLOOKUP(C123,'원본_AIDeck'!$B$2:$N$47,8,FALSE)</x:f>
        <x:v>31</x:v>
      </x:c>
      <x:c r="F123" t="n">
        <x:f>VLOOKUP(C123,'원본_AIDeck'!$B$2:$N$47,9,FALSE)</x:f>
        <x:v>37</x:v>
      </x:c>
      <x:c r="G123" t="n">
        <x:f>VLOOKUP(C123,'원본_AIDeck'!$B$2:$N$47,10,FALSE)</x:f>
        <x:v>38</x:v>
      </x:c>
      <x:c r="H123" t="n">
        <x:f>VLOOKUP(C123,'원본_AIDeck'!$B$2:$N$47,11,FALSE)</x:f>
        <x:v>6</x:v>
      </x:c>
      <x:c r="I123" t="n">
        <x:f>VLOOKUP(C123,'원본_AIDeck'!$B$2:$N$47,12,FALSE)</x:f>
        <x:v>39</x:v>
      </x:c>
      <x:c r="J123" t="n">
        <x:f>VLOOKUP(C123,'원본_AIDeck'!$B$2:$N$47,13,FALSE)</x:f>
        <x:v>14</x:v>
      </x:c>
      <x:c r="K123" t="n">
        <x:f>VLOOKUP(E123,'카드성장'!$A$7:$G$46,'원본_RankAiEncounter'!E118+2,FALSE)+SUMIF('원본_CardLimitBreak'!$B$2:$B$4,"&lt;="&amp;'원본_RankAiEncounter'!K118,'원본_CardLimitBreak'!$C$2:$C$4)</x:f>
        <x:v>19</x:v>
      </x:c>
      <x:c r="L123" t="n">
        <x:f>VLOOKUP(F123,'카드성장'!$A$7:$G$46,'원본_RankAiEncounter'!F118+2,FALSE)+SUMIF('원본_CardLimitBreak'!$B$2:$B$4,"&lt;="&amp;'원본_RankAiEncounter'!L118,'원본_CardLimitBreak'!$C$2:$C$4)</x:f>
        <x:v>18</x:v>
      </x:c>
      <x:c r="M123" t="n">
        <x:f>VLOOKUP(G123,'카드성장'!$A$7:$G$46,'원본_RankAiEncounter'!G118+2,FALSE)+SUMIF('원본_CardLimitBreak'!$B$2:$B$4,"&lt;="&amp;'원본_RankAiEncounter'!M118,'원본_CardLimitBreak'!$C$2:$C$4)</x:f>
        <x:v>21</x:v>
      </x:c>
      <x:c r="N123" t="n">
        <x:f>VLOOKUP(H123,'카드성장'!$A$7:$G$46,'원본_RankAiEncounter'!H118+2,FALSE)+SUMIF('원본_CardLimitBreak'!$B$2:$B$4,"&lt;="&amp;'원본_RankAiEncounter'!N118,'원본_CardLimitBreak'!$C$2:$C$4)</x:f>
        <x:v>23</x:v>
      </x:c>
      <x:c r="O123" t="n">
        <x:f>VLOOKUP(I123,'카드성장'!$A$7:$G$46,'원본_RankAiEncounter'!I118+2,FALSE)+SUMIF('원본_CardLimitBreak'!$B$2:$B$4,"&lt;="&amp;'원본_RankAiEncounter'!O118,'원본_CardLimitBreak'!$C$2:$C$4)</x:f>
        <x:v>20</x:v>
      </x:c>
      <x:c r="P123" t="n">
        <x:f>VLOOKUP(J123,'카드성장'!$A$7:$G$46,'원본_RankAiEncounter'!J118+2,FALSE)+SUMIF('원본_CardLimitBreak'!$B$2:$B$4,"&lt;="&amp;'원본_RankAiEncounter'!P118,'원본_CardLimitBreak'!$C$2:$C$4)</x:f>
        <x:v>20</x:v>
      </x:c>
      <x:c r="Q123" t="n">
        <x:f>SUM(K123:P123)</x:f>
        <x:v>121</x:v>
      </x:c>
    </x:row>
    <x:row r="124">
      <x:c r="A124" t="n">
        <x:f>'원본_RankAiEncounter'!B119</x:f>
        <x:v>18</x:v>
      </x:c>
      <x:c r="B124" t="str">
        <x:f>'원본_RankAiEncounter'!C119</x:f>
        <x:v>Normal</x:v>
      </x:c>
      <x:c r="C124" t="str">
        <x:f>'원본_RankAiEncounter'!D119</x:f>
        <x:v>deck_01</x:v>
      </x:c>
      <x:c r="D124" t="n">
        <x:f>MAX(1,VLOOKUP(C124,'원본_AIDeck'!$B$2:$N$47,5,FALSE))</x:f>
        <x:v>1</x:v>
      </x:c>
      <x:c r="E124" t="n">
        <x:f>VLOOKUP(C124,'원본_AIDeck'!$B$2:$N$47,8,FALSE)</x:f>
        <x:v>20</x:v>
      </x:c>
      <x:c r="F124" t="n">
        <x:f>VLOOKUP(C124,'원본_AIDeck'!$B$2:$N$47,9,FALSE)</x:f>
        <x:v>18</x:v>
      </x:c>
      <x:c r="G124" t="n">
        <x:f>VLOOKUP(C124,'원본_AIDeck'!$B$2:$N$47,10,FALSE)</x:f>
        <x:v>19</x:v>
      </x:c>
      <x:c r="H124" t="n">
        <x:f>VLOOKUP(C124,'원본_AIDeck'!$B$2:$N$47,11,FALSE)</x:f>
        <x:v>6</x:v>
      </x:c>
      <x:c r="I124" t="n">
        <x:f>VLOOKUP(C124,'원본_AIDeck'!$B$2:$N$47,12,FALSE)</x:f>
        <x:v>13</x:v>
      </x:c>
      <x:c r="J124" t="n">
        <x:f>VLOOKUP(C124,'원본_AIDeck'!$B$2:$N$47,13,FALSE)</x:f>
        <x:v>14</x:v>
      </x:c>
      <x:c r="K124" t="n">
        <x:f>VLOOKUP(E124,'카드성장'!$A$7:$G$46,'원본_RankAiEncounter'!E119+2,FALSE)+SUMIF('원본_CardLimitBreak'!$B$2:$B$4,"&lt;="&amp;'원본_RankAiEncounter'!K119,'원본_CardLimitBreak'!$C$2:$C$4)</x:f>
        <x:v>21</x:v>
      </x:c>
      <x:c r="L124" t="n">
        <x:f>VLOOKUP(F124,'카드성장'!$A$7:$G$46,'원본_RankAiEncounter'!F119+2,FALSE)+SUMIF('원본_CardLimitBreak'!$B$2:$B$4,"&lt;="&amp;'원본_RankAiEncounter'!L119,'원본_CardLimitBreak'!$C$2:$C$4)</x:f>
        <x:v>17</x:v>
      </x:c>
      <x:c r="M124" t="n">
        <x:f>VLOOKUP(G124,'카드성장'!$A$7:$G$46,'원본_RankAiEncounter'!G119+2,FALSE)+SUMIF('원본_CardLimitBreak'!$B$2:$B$4,"&lt;="&amp;'원본_RankAiEncounter'!M119,'원본_CardLimitBreak'!$C$2:$C$4)</x:f>
        <x:v>19</x:v>
      </x:c>
      <x:c r="N124" t="n">
        <x:f>VLOOKUP(H124,'카드성장'!$A$7:$G$46,'원본_RankAiEncounter'!H119+2,FALSE)+SUMIF('원본_CardLimitBreak'!$B$2:$B$4,"&lt;="&amp;'원본_RankAiEncounter'!N119,'원본_CardLimitBreak'!$C$2:$C$4)</x:f>
        <x:v>22</x:v>
      </x:c>
      <x:c r="O124" t="n">
        <x:f>VLOOKUP(I124,'카드성장'!$A$7:$G$46,'원본_RankAiEncounter'!I119+2,FALSE)+SUMIF('원본_CardLimitBreak'!$B$2:$B$4,"&lt;="&amp;'원본_RankAiEncounter'!O119,'원본_CardLimitBreak'!$C$2:$C$4)</x:f>
        <x:v>19</x:v>
      </x:c>
      <x:c r="P124" t="n">
        <x:f>VLOOKUP(J124,'카드성장'!$A$7:$G$46,'원본_RankAiEncounter'!J119+2,FALSE)+SUMIF('원본_CardLimitBreak'!$B$2:$B$4,"&lt;="&amp;'원본_RankAiEncounter'!P119,'원본_CardLimitBreak'!$C$2:$C$4)</x:f>
        <x:v>20</x:v>
      </x:c>
      <x:c r="Q124" t="n">
        <x:f>SUM(K124:P124)</x:f>
        <x:v>118</x:v>
      </x:c>
    </x:row>
    <x:row r="125">
      <x:c r="A125" t="n">
        <x:f>'원본_RankAiEncounter'!B120</x:f>
        <x:v>18</x:v>
      </x:c>
      <x:c r="B125" t="str">
        <x:f>'원본_RankAiEncounter'!C120</x:f>
        <x:v>Normal</x:v>
      </x:c>
      <x:c r="C125" t="str">
        <x:f>'원본_RankAiEncounter'!D120</x:f>
        <x:v>deck_02</x:v>
      </x:c>
      <x:c r="D125" t="n">
        <x:f>MAX(1,VLOOKUP(C125,'원본_AIDeck'!$B$2:$N$47,5,FALSE))</x:f>
        <x:v>1</x:v>
      </x:c>
      <x:c r="E125" t="n">
        <x:f>VLOOKUP(C125,'원본_AIDeck'!$B$2:$N$47,8,FALSE)</x:f>
        <x:v>20</x:v>
      </x:c>
      <x:c r="F125" t="n">
        <x:f>VLOOKUP(C125,'원본_AIDeck'!$B$2:$N$47,9,FALSE)</x:f>
        <x:v>18</x:v>
      </x:c>
      <x:c r="G125" t="n">
        <x:f>VLOOKUP(C125,'원본_AIDeck'!$B$2:$N$47,10,FALSE)</x:f>
        <x:v>19</x:v>
      </x:c>
      <x:c r="H125" t="n">
        <x:f>VLOOKUP(C125,'원본_AIDeck'!$B$2:$N$47,11,FALSE)</x:f>
        <x:v>4</x:v>
      </x:c>
      <x:c r="I125" t="n">
        <x:f>VLOOKUP(C125,'원본_AIDeck'!$B$2:$N$47,12,FALSE)</x:f>
        <x:v>37</x:v>
      </x:c>
      <x:c r="J125" t="n">
        <x:f>VLOOKUP(C125,'원본_AIDeck'!$B$2:$N$47,13,FALSE)</x:f>
        <x:v>31</x:v>
      </x:c>
      <x:c r="K125" t="n">
        <x:f>VLOOKUP(E125,'카드성장'!$A$7:$G$46,'원본_RankAiEncounter'!E120+2,FALSE)+SUMIF('원본_CardLimitBreak'!$B$2:$B$4,"&lt;="&amp;'원본_RankAiEncounter'!K120,'원본_CardLimitBreak'!$C$2:$C$4)</x:f>
        <x:v>21</x:v>
      </x:c>
      <x:c r="L125" t="n">
        <x:f>VLOOKUP(F125,'카드성장'!$A$7:$G$46,'원본_RankAiEncounter'!F120+2,FALSE)+SUMIF('원본_CardLimitBreak'!$B$2:$B$4,"&lt;="&amp;'원본_RankAiEncounter'!L120,'원본_CardLimitBreak'!$C$2:$C$4)</x:f>
        <x:v>17</x:v>
      </x:c>
      <x:c r="M125" t="n">
        <x:f>VLOOKUP(G125,'카드성장'!$A$7:$G$46,'원본_RankAiEncounter'!G120+2,FALSE)+SUMIF('원본_CardLimitBreak'!$B$2:$B$4,"&lt;="&amp;'원본_RankAiEncounter'!M120,'원본_CardLimitBreak'!$C$2:$C$4)</x:f>
        <x:v>19</x:v>
      </x:c>
      <x:c r="N125" t="n">
        <x:f>VLOOKUP(H125,'카드성장'!$A$7:$G$46,'원본_RankAiEncounter'!H120+2,FALSE)+SUMIF('원본_CardLimitBreak'!$B$2:$B$4,"&lt;="&amp;'원본_RankAiEncounter'!N120,'원본_CardLimitBreak'!$C$2:$C$4)</x:f>
        <x:v>20</x:v>
      </x:c>
      <x:c r="O125" t="n">
        <x:f>VLOOKUP(I125,'카드성장'!$A$7:$G$46,'원본_RankAiEncounter'!I120+2,FALSE)+SUMIF('원본_CardLimitBreak'!$B$2:$B$4,"&lt;="&amp;'원본_RankAiEncounter'!O120,'원본_CardLimitBreak'!$C$2:$C$4)</x:f>
        <x:v>20</x:v>
      </x:c>
      <x:c r="P125" t="n">
        <x:f>VLOOKUP(J125,'카드성장'!$A$7:$G$46,'원본_RankAiEncounter'!J120+2,FALSE)+SUMIF('원본_CardLimitBreak'!$B$2:$B$4,"&lt;="&amp;'원본_RankAiEncounter'!P120,'원본_CardLimitBreak'!$C$2:$C$4)</x:f>
        <x:v>20</x:v>
      </x:c>
      <x:c r="Q125" t="n">
        <x:f>SUM(K125:P125)</x:f>
        <x:v>117</x:v>
      </x:c>
    </x:row>
    <x:row r="126">
      <x:c r="A126" t="n">
        <x:f>'원본_RankAiEncounter'!B121</x:f>
        <x:v>18</x:v>
      </x:c>
      <x:c r="B126" t="str">
        <x:f>'원본_RankAiEncounter'!C121</x:f>
        <x:v>Normal</x:v>
      </x:c>
      <x:c r="C126" t="str">
        <x:f>'원본_RankAiEncounter'!D121</x:f>
        <x:v>deck_03</x:v>
      </x:c>
      <x:c r="D126" t="n">
        <x:f>MAX(1,VLOOKUP(C126,'원본_AIDeck'!$B$2:$N$47,5,FALSE))</x:f>
        <x:v>1</x:v>
      </x:c>
      <x:c r="E126" t="n">
        <x:f>VLOOKUP(C126,'원본_AIDeck'!$B$2:$N$47,8,FALSE)</x:f>
        <x:v>4</x:v>
      </x:c>
      <x:c r="F126" t="n">
        <x:f>VLOOKUP(C126,'원본_AIDeck'!$B$2:$N$47,9,FALSE)</x:f>
        <x:v>2</x:v>
      </x:c>
      <x:c r="G126" t="n">
        <x:f>VLOOKUP(C126,'원본_AIDeck'!$B$2:$N$47,10,FALSE)</x:f>
        <x:v>1</x:v>
      </x:c>
      <x:c r="H126" t="n">
        <x:f>VLOOKUP(C126,'원본_AIDeck'!$B$2:$N$47,11,FALSE)</x:f>
        <x:v>6</x:v>
      </x:c>
      <x:c r="I126" t="n">
        <x:f>VLOOKUP(C126,'원본_AIDeck'!$B$2:$N$47,12,FALSE)</x:f>
        <x:v>28</x:v>
      </x:c>
      <x:c r="J126" t="n">
        <x:f>VLOOKUP(C126,'원본_AIDeck'!$B$2:$N$47,13,FALSE)</x:f>
        <x:v>12</x:v>
      </x:c>
      <x:c r="K126" t="n">
        <x:f>VLOOKUP(E126,'카드성장'!$A$7:$G$46,'원본_RankAiEncounter'!E121+2,FALSE)+SUMIF('원본_CardLimitBreak'!$B$2:$B$4,"&lt;="&amp;'원본_RankAiEncounter'!K121,'원본_CardLimitBreak'!$C$2:$C$4)</x:f>
        <x:v>21</x:v>
      </x:c>
      <x:c r="L126" t="n">
        <x:f>VLOOKUP(F126,'카드성장'!$A$7:$G$46,'원본_RankAiEncounter'!F121+2,FALSE)+SUMIF('원본_CardLimitBreak'!$B$2:$B$4,"&lt;="&amp;'원본_RankAiEncounter'!L121,'원본_CardLimitBreak'!$C$2:$C$4)</x:f>
        <x:v>17</x:v>
      </x:c>
      <x:c r="M126" t="n">
        <x:f>VLOOKUP(G126,'카드성장'!$A$7:$G$46,'원본_RankAiEncounter'!G121+2,FALSE)+SUMIF('원본_CardLimitBreak'!$B$2:$B$4,"&lt;="&amp;'원본_RankAiEncounter'!M121,'원본_CardLimitBreak'!$C$2:$C$4)</x:f>
        <x:v>17</x:v>
      </x:c>
      <x:c r="N126" t="n">
        <x:f>VLOOKUP(H126,'카드성장'!$A$7:$G$46,'원본_RankAiEncounter'!H121+2,FALSE)+SUMIF('원본_CardLimitBreak'!$B$2:$B$4,"&lt;="&amp;'원본_RankAiEncounter'!N121,'원본_CardLimitBreak'!$C$2:$C$4)</x:f>
        <x:v>22</x:v>
      </x:c>
      <x:c r="O126" t="n">
        <x:f>VLOOKUP(I126,'카드성장'!$A$7:$G$46,'원본_RankAiEncounter'!I121+2,FALSE)+SUMIF('원본_CardLimitBreak'!$B$2:$B$4,"&lt;="&amp;'원본_RankAiEncounter'!O121,'원본_CardLimitBreak'!$C$2:$C$4)</x:f>
        <x:v>22</x:v>
      </x:c>
      <x:c r="P126" t="n">
        <x:f>VLOOKUP(J126,'카드성장'!$A$7:$G$46,'원본_RankAiEncounter'!J121+2,FALSE)+SUMIF('원본_CardLimitBreak'!$B$2:$B$4,"&lt;="&amp;'원본_RankAiEncounter'!P121,'원본_CardLimitBreak'!$C$2:$C$4)</x:f>
        <x:v>21</x:v>
      </x:c>
      <x:c r="Q126" t="n">
        <x:f>SUM(K126:P126)</x:f>
        <x:v>120</x:v>
      </x:c>
    </x:row>
    <x:row r="127">
      <x:c r="A127" t="n">
        <x:f>'원본_RankAiEncounter'!B122</x:f>
        <x:v>18</x:v>
      </x:c>
      <x:c r="B127" t="str">
        <x:f>'원본_RankAiEncounter'!C122</x:f>
        <x:v>Normal</x:v>
      </x:c>
      <x:c r="C127" t="str">
        <x:f>'원본_RankAiEncounter'!D122</x:f>
        <x:v>deck_04</x:v>
      </x:c>
      <x:c r="D127" t="n">
        <x:f>MAX(1,VLOOKUP(C127,'원본_AIDeck'!$B$2:$N$47,5,FALSE))</x:f>
        <x:v>1</x:v>
      </x:c>
      <x:c r="E127" t="n">
        <x:f>VLOOKUP(C127,'원본_AIDeck'!$B$2:$N$47,8,FALSE)</x:f>
        <x:v>4</x:v>
      </x:c>
      <x:c r="F127" t="n">
        <x:f>VLOOKUP(C127,'원본_AIDeck'!$B$2:$N$47,9,FALSE)</x:f>
        <x:v>2</x:v>
      </x:c>
      <x:c r="G127" t="n">
        <x:f>VLOOKUP(C127,'원본_AIDeck'!$B$2:$N$47,10,FALSE)</x:f>
        <x:v>32</x:v>
      </x:c>
      <x:c r="H127" t="n">
        <x:f>VLOOKUP(C127,'원본_AIDeck'!$B$2:$N$47,11,FALSE)</x:f>
        <x:v>27</x:v>
      </x:c>
      <x:c r="I127" t="n">
        <x:f>VLOOKUP(C127,'원본_AIDeck'!$B$2:$N$47,12,FALSE)</x:f>
        <x:v>6</x:v>
      </x:c>
      <x:c r="J127" t="n">
        <x:f>VLOOKUP(C127,'원본_AIDeck'!$B$2:$N$47,13,FALSE)</x:f>
        <x:v>38</x:v>
      </x:c>
      <x:c r="K127" t="n">
        <x:f>VLOOKUP(E127,'카드성장'!$A$7:$G$46,'원본_RankAiEncounter'!E122+2,FALSE)+SUMIF('원본_CardLimitBreak'!$B$2:$B$4,"&lt;="&amp;'원본_RankAiEncounter'!K122,'원본_CardLimitBreak'!$C$2:$C$4)</x:f>
        <x:v>21</x:v>
      </x:c>
      <x:c r="L127" t="n">
        <x:f>VLOOKUP(F127,'카드성장'!$A$7:$G$46,'원본_RankAiEncounter'!F122+2,FALSE)+SUMIF('원본_CardLimitBreak'!$B$2:$B$4,"&lt;="&amp;'원본_RankAiEncounter'!L122,'원본_CardLimitBreak'!$C$2:$C$4)</x:f>
        <x:v>17</x:v>
      </x:c>
      <x:c r="M127" t="n">
        <x:f>VLOOKUP(G127,'카드성장'!$A$7:$G$46,'원본_RankAiEncounter'!G122+2,FALSE)+SUMIF('원본_CardLimitBreak'!$B$2:$B$4,"&lt;="&amp;'원본_RankAiEncounter'!M122,'원본_CardLimitBreak'!$C$2:$C$4)</x:f>
        <x:v>20</x:v>
      </x:c>
      <x:c r="N127" t="n">
        <x:f>VLOOKUP(H127,'카드성장'!$A$7:$G$46,'원본_RankAiEncounter'!H122+2,FALSE)+SUMIF('원본_CardLimitBreak'!$B$2:$B$4,"&lt;="&amp;'원본_RankAiEncounter'!N122,'원본_CardLimitBreak'!$C$2:$C$4)</x:f>
        <x:v>17</x:v>
      </x:c>
      <x:c r="O127" t="n">
        <x:f>VLOOKUP(I127,'카드성장'!$A$7:$G$46,'원본_RankAiEncounter'!I122+2,FALSE)+SUMIF('원본_CardLimitBreak'!$B$2:$B$4,"&lt;="&amp;'원본_RankAiEncounter'!O122,'원본_CardLimitBreak'!$C$2:$C$4)</x:f>
        <x:v>22</x:v>
      </x:c>
      <x:c r="P127" t="n">
        <x:f>VLOOKUP(J127,'카드성장'!$A$7:$G$46,'원본_RankAiEncounter'!J122+2,FALSE)+SUMIF('원본_CardLimitBreak'!$B$2:$B$4,"&lt;="&amp;'원본_RankAiEncounter'!P122,'원본_CardLimitBreak'!$C$2:$C$4)</x:f>
        <x:v>21</x:v>
      </x:c>
      <x:c r="Q127" t="n">
        <x:f>SUM(K127:P127)</x:f>
        <x:v>118</x:v>
      </x:c>
    </x:row>
    <x:row r="128">
      <x:c r="A128" t="n">
        <x:f>'원본_RankAiEncounter'!B123</x:f>
        <x:v>18</x:v>
      </x:c>
      <x:c r="B128" t="str">
        <x:f>'원본_RankAiEncounter'!C123</x:f>
        <x:v>Normal</x:v>
      </x:c>
      <x:c r="C128" t="str">
        <x:f>'원본_RankAiEncounter'!D123</x:f>
        <x:v>deck_05</x:v>
      </x:c>
      <x:c r="D128" t="n">
        <x:f>MAX(1,VLOOKUP(C128,'원본_AIDeck'!$B$2:$N$47,5,FALSE))</x:f>
        <x:v>1</x:v>
      </x:c>
      <x:c r="E128" t="n">
        <x:f>VLOOKUP(C128,'원본_AIDeck'!$B$2:$N$47,8,FALSE)</x:f>
        <x:v>15</x:v>
      </x:c>
      <x:c r="F128" t="n">
        <x:f>VLOOKUP(C128,'원본_AIDeck'!$B$2:$N$47,9,FALSE)</x:f>
        <x:v>16</x:v>
      </x:c>
      <x:c r="G128" t="n">
        <x:f>VLOOKUP(C128,'원본_AIDeck'!$B$2:$N$47,10,FALSE)</x:f>
        <x:v>25</x:v>
      </x:c>
      <x:c r="H128" t="n">
        <x:f>VLOOKUP(C128,'원본_AIDeck'!$B$2:$N$47,11,FALSE)</x:f>
        <x:v>20</x:v>
      </x:c>
      <x:c r="I128" t="n">
        <x:f>VLOOKUP(C128,'원본_AIDeck'!$B$2:$N$47,12,FALSE)</x:f>
        <x:v>29</x:v>
      </x:c>
      <x:c r="J128" t="n">
        <x:f>VLOOKUP(C128,'원본_AIDeck'!$B$2:$N$47,13,FALSE)</x:f>
        <x:v>37</x:v>
      </x:c>
      <x:c r="K128" t="n">
        <x:f>VLOOKUP(E128,'카드성장'!$A$7:$G$46,'원본_RankAiEncounter'!E123+2,FALSE)+SUMIF('원본_CardLimitBreak'!$B$2:$B$4,"&lt;="&amp;'원본_RankAiEncounter'!K123,'원본_CardLimitBreak'!$C$2:$C$4)</x:f>
        <x:v>18</x:v>
      </x:c>
      <x:c r="L128" t="n">
        <x:f>VLOOKUP(F128,'카드성장'!$A$7:$G$46,'원본_RankAiEncounter'!F123+2,FALSE)+SUMIF('원본_CardLimitBreak'!$B$2:$B$4,"&lt;="&amp;'원본_RankAiEncounter'!L123,'원본_CardLimitBreak'!$C$2:$C$4)</x:f>
        <x:v>17</x:v>
      </x:c>
      <x:c r="M128" t="n">
        <x:f>VLOOKUP(G128,'카드성장'!$A$7:$G$46,'원본_RankAiEncounter'!G123+2,FALSE)+SUMIF('원본_CardLimitBreak'!$B$2:$B$4,"&lt;="&amp;'원본_RankAiEncounter'!M123,'원본_CardLimitBreak'!$C$2:$C$4)</x:f>
        <x:v>20</x:v>
      </x:c>
      <x:c r="N128" t="n">
        <x:f>VLOOKUP(H128,'카드성장'!$A$7:$G$46,'원본_RankAiEncounter'!H123+2,FALSE)+SUMIF('원본_CardLimitBreak'!$B$2:$B$4,"&lt;="&amp;'원본_RankAiEncounter'!N123,'원본_CardLimitBreak'!$C$2:$C$4)</x:f>
        <x:v>20</x:v>
      </x:c>
      <x:c r="O128" t="n">
        <x:f>VLOOKUP(I128,'카드성장'!$A$7:$G$46,'원본_RankAiEncounter'!I123+2,FALSE)+SUMIF('원본_CardLimitBreak'!$B$2:$B$4,"&lt;="&amp;'원본_RankAiEncounter'!O123,'원본_CardLimitBreak'!$C$2:$C$4)</x:f>
        <x:v>19</x:v>
      </x:c>
      <x:c r="P128" t="n">
        <x:f>VLOOKUP(J128,'카드성장'!$A$7:$G$46,'원본_RankAiEncounter'!J123+2,FALSE)+SUMIF('원본_CardLimitBreak'!$B$2:$B$4,"&lt;="&amp;'원본_RankAiEncounter'!P123,'원본_CardLimitBreak'!$C$2:$C$4)</x:f>
        <x:v>19</x:v>
      </x:c>
      <x:c r="Q128" t="n">
        <x:f>SUM(K128:P128)</x:f>
        <x:v>113</x:v>
      </x:c>
    </x:row>
    <x:row r="129">
      <x:c r="A129" t="n">
        <x:f>'원본_RankAiEncounter'!B124</x:f>
        <x:v>18</x:v>
      </x:c>
      <x:c r="B129" t="str">
        <x:f>'원본_RankAiEncounter'!C124</x:f>
        <x:v>Normal</x:v>
      </x:c>
      <x:c r="C129" t="str">
        <x:f>'원본_RankAiEncounter'!D124</x:f>
        <x:v>deck_06</x:v>
      </x:c>
      <x:c r="D129" t="n">
        <x:f>MAX(1,VLOOKUP(C129,'원본_AIDeck'!$B$2:$N$47,5,FALSE))</x:f>
        <x:v>1</x:v>
      </x:c>
      <x:c r="E129" t="n">
        <x:f>VLOOKUP(C129,'원본_AIDeck'!$B$2:$N$47,8,FALSE)</x:f>
        <x:v>15</x:v>
      </x:c>
      <x:c r="F129" t="n">
        <x:f>VLOOKUP(C129,'원본_AIDeck'!$B$2:$N$47,9,FALSE)</x:f>
        <x:v>16</x:v>
      </x:c>
      <x:c r="G129" t="n">
        <x:f>VLOOKUP(C129,'원본_AIDeck'!$B$2:$N$47,10,FALSE)</x:f>
        <x:v>25</x:v>
      </x:c>
      <x:c r="H129" t="n">
        <x:f>VLOOKUP(C129,'원본_AIDeck'!$B$2:$N$47,11,FALSE)</x:f>
        <x:v>20</x:v>
      </x:c>
      <x:c r="I129" t="n">
        <x:f>VLOOKUP(C129,'원본_AIDeck'!$B$2:$N$47,12,FALSE)</x:f>
        <x:v>6</x:v>
      </x:c>
      <x:c r="J129" t="n">
        <x:f>VLOOKUP(C129,'원본_AIDeck'!$B$2:$N$47,13,FALSE)</x:f>
        <x:v>38</x:v>
      </x:c>
      <x:c r="K129" t="n">
        <x:f>VLOOKUP(E129,'카드성장'!$A$7:$G$46,'원본_RankAiEncounter'!E124+2,FALSE)+SUMIF('원본_CardLimitBreak'!$B$2:$B$4,"&lt;="&amp;'원본_RankAiEncounter'!K124,'원본_CardLimitBreak'!$C$2:$C$4)</x:f>
        <x:v>18</x:v>
      </x:c>
      <x:c r="L129" t="n">
        <x:f>VLOOKUP(F129,'카드성장'!$A$7:$G$46,'원본_RankAiEncounter'!F124+2,FALSE)+SUMIF('원본_CardLimitBreak'!$B$2:$B$4,"&lt;="&amp;'원본_RankAiEncounter'!L124,'원본_CardLimitBreak'!$C$2:$C$4)</x:f>
        <x:v>17</x:v>
      </x:c>
      <x:c r="M129" t="n">
        <x:f>VLOOKUP(G129,'카드성장'!$A$7:$G$46,'원본_RankAiEncounter'!G124+2,FALSE)+SUMIF('원본_CardLimitBreak'!$B$2:$B$4,"&lt;="&amp;'원본_RankAiEncounter'!M124,'원본_CardLimitBreak'!$C$2:$C$4)</x:f>
        <x:v>20</x:v>
      </x:c>
      <x:c r="N129" t="n">
        <x:f>VLOOKUP(H129,'카드성장'!$A$7:$G$46,'원본_RankAiEncounter'!H124+2,FALSE)+SUMIF('원본_CardLimitBreak'!$B$2:$B$4,"&lt;="&amp;'원본_RankAiEncounter'!N124,'원본_CardLimitBreak'!$C$2:$C$4)</x:f>
        <x:v>20</x:v>
      </x:c>
      <x:c r="O129" t="n">
        <x:f>VLOOKUP(I129,'카드성장'!$A$7:$G$46,'원본_RankAiEncounter'!I124+2,FALSE)+SUMIF('원본_CardLimitBreak'!$B$2:$B$4,"&lt;="&amp;'원본_RankAiEncounter'!O124,'원본_CardLimitBreak'!$C$2:$C$4)</x:f>
        <x:v>22</x:v>
      </x:c>
      <x:c r="P129" t="n">
        <x:f>VLOOKUP(J129,'카드성장'!$A$7:$G$46,'원본_RankAiEncounter'!J124+2,FALSE)+SUMIF('원본_CardLimitBreak'!$B$2:$B$4,"&lt;="&amp;'원본_RankAiEncounter'!P124,'원본_CardLimitBreak'!$C$2:$C$4)</x:f>
        <x:v>21</x:v>
      </x:c>
      <x:c r="Q129" t="n">
        <x:f>SUM(K129:P129)</x:f>
        <x:v>118</x:v>
      </x:c>
    </x:row>
    <x:row r="130">
      <x:c r="A130" t="n">
        <x:f>'원본_RankAiEncounter'!B125</x:f>
        <x:v>18</x:v>
      </x:c>
      <x:c r="B130" t="str">
        <x:f>'원본_RankAiEncounter'!C125</x:f>
        <x:v>Normal</x:v>
      </x:c>
      <x:c r="C130" t="str">
        <x:f>'원본_RankAiEncounter'!D125</x:f>
        <x:v>deck_07</x:v>
      </x:c>
      <x:c r="D130" t="n">
        <x:f>MAX(1,VLOOKUP(C130,'원본_AIDeck'!$B$2:$N$47,5,FALSE))</x:f>
        <x:v>1</x:v>
      </x:c>
      <x:c r="E130" t="n">
        <x:f>VLOOKUP(C130,'원본_AIDeck'!$B$2:$N$47,8,FALSE)</x:f>
        <x:v>8</x:v>
      </x:c>
      <x:c r="F130" t="n">
        <x:f>VLOOKUP(C130,'원본_AIDeck'!$B$2:$N$47,9,FALSE)</x:f>
        <x:v>9</x:v>
      </x:c>
      <x:c r="G130" t="n">
        <x:f>VLOOKUP(C130,'원본_AIDeck'!$B$2:$N$47,10,FALSE)</x:f>
        <x:v>10</x:v>
      </x:c>
      <x:c r="H130" t="n">
        <x:f>VLOOKUP(C130,'원본_AIDeck'!$B$2:$N$47,11,FALSE)</x:f>
        <x:v>20</x:v>
      </x:c>
      <x:c r="I130" t="n">
        <x:f>VLOOKUP(C130,'원본_AIDeck'!$B$2:$N$47,12,FALSE)</x:f>
        <x:v>6</x:v>
      </x:c>
      <x:c r="J130" t="n">
        <x:f>VLOOKUP(C130,'원본_AIDeck'!$B$2:$N$47,13,FALSE)</x:f>
        <x:v>27</x:v>
      </x:c>
      <x:c r="K130" t="n">
        <x:f>VLOOKUP(E130,'카드성장'!$A$7:$G$46,'원본_RankAiEncounter'!E125+2,FALSE)+SUMIF('원본_CardLimitBreak'!$B$2:$B$4,"&lt;="&amp;'원본_RankAiEncounter'!K125,'원본_CardLimitBreak'!$C$2:$C$4)</x:f>
        <x:v>21</x:v>
      </x:c>
      <x:c r="L130" t="n">
        <x:f>VLOOKUP(F130,'카드성장'!$A$7:$G$46,'원본_RankAiEncounter'!F125+2,FALSE)+SUMIF('원본_CardLimitBreak'!$B$2:$B$4,"&lt;="&amp;'원본_RankAiEncounter'!L125,'원본_CardLimitBreak'!$C$2:$C$4)</x:f>
        <x:v>17</x:v>
      </x:c>
      <x:c r="M130" t="n">
        <x:f>VLOOKUP(G130,'카드성장'!$A$7:$G$46,'원본_RankAiEncounter'!G125+2,FALSE)+SUMIF('원본_CardLimitBreak'!$B$2:$B$4,"&lt;="&amp;'원본_RankAiEncounter'!M125,'원본_CardLimitBreak'!$C$2:$C$4)</x:f>
        <x:v>20</x:v>
      </x:c>
      <x:c r="N130" t="n">
        <x:f>VLOOKUP(H130,'카드성장'!$A$7:$G$46,'원본_RankAiEncounter'!H125+2,FALSE)+SUMIF('원본_CardLimitBreak'!$B$2:$B$4,"&lt;="&amp;'원본_RankAiEncounter'!N125,'원본_CardLimitBreak'!$C$2:$C$4)</x:f>
        <x:v>21</x:v>
      </x:c>
      <x:c r="O130" t="n">
        <x:f>VLOOKUP(I130,'카드성장'!$A$7:$G$46,'원본_RankAiEncounter'!I125+2,FALSE)+SUMIF('원본_CardLimitBreak'!$B$2:$B$4,"&lt;="&amp;'원본_RankAiEncounter'!O125,'원본_CardLimitBreak'!$C$2:$C$4)</x:f>
        <x:v>22</x:v>
      </x:c>
      <x:c r="P130" t="n">
        <x:f>VLOOKUP(J130,'카드성장'!$A$7:$G$46,'원본_RankAiEncounter'!J125+2,FALSE)+SUMIF('원본_CardLimitBreak'!$B$2:$B$4,"&lt;="&amp;'원본_RankAiEncounter'!P125,'원본_CardLimitBreak'!$C$2:$C$4)</x:f>
        <x:v>17</x:v>
      </x:c>
      <x:c r="Q130" t="n">
        <x:f>SUM(K130:P130)</x:f>
        <x:v>118</x:v>
      </x:c>
    </x:row>
    <x:row r="131">
      <x:c r="A131" t="n">
        <x:f>'원본_RankAiEncounter'!B126</x:f>
        <x:v>18</x:v>
      </x:c>
      <x:c r="B131" t="str">
        <x:f>'원본_RankAiEncounter'!C126</x:f>
        <x:v>Normal</x:v>
      </x:c>
      <x:c r="C131" t="str">
        <x:f>'원본_RankAiEncounter'!D126</x:f>
        <x:v>deck_08</x:v>
      </x:c>
      <x:c r="D131" t="n">
        <x:f>MAX(1,VLOOKUP(C131,'원본_AIDeck'!$B$2:$N$47,5,FALSE))</x:f>
        <x:v>1</x:v>
      </x:c>
      <x:c r="E131" t="n">
        <x:f>VLOOKUP(C131,'원본_AIDeck'!$B$2:$N$47,8,FALSE)</x:f>
        <x:v>5</x:v>
      </x:c>
      <x:c r="F131" t="n">
        <x:f>VLOOKUP(C131,'원본_AIDeck'!$B$2:$N$47,9,FALSE)</x:f>
        <x:v>6</x:v>
      </x:c>
      <x:c r="G131" t="n">
        <x:f>VLOOKUP(C131,'원본_AIDeck'!$B$2:$N$47,10,FALSE)</x:f>
        <x:v>33</x:v>
      </x:c>
      <x:c r="H131" t="n">
        <x:f>VLOOKUP(C131,'원본_AIDeck'!$B$2:$N$47,11,FALSE)</x:f>
        <x:v>28</x:v>
      </x:c>
      <x:c r="I131" t="n">
        <x:f>VLOOKUP(C131,'원본_AIDeck'!$B$2:$N$47,12,FALSE)</x:f>
        <x:v>12</x:v>
      </x:c>
      <x:c r="J131" t="n">
        <x:f>VLOOKUP(C131,'원본_AIDeck'!$B$2:$N$47,13,FALSE)</x:f>
        <x:v>10</x:v>
      </x:c>
      <x:c r="K131" t="n">
        <x:f>VLOOKUP(E131,'카드성장'!$A$7:$G$46,'원본_RankAiEncounter'!E126+2,FALSE)+SUMIF('원본_CardLimitBreak'!$B$2:$B$4,"&lt;="&amp;'원본_RankAiEncounter'!K126,'원본_CardLimitBreak'!$C$2:$C$4)</x:f>
        <x:v>23</x:v>
      </x:c>
      <x:c r="L131" t="n">
        <x:f>VLOOKUP(F131,'카드성장'!$A$7:$G$46,'원본_RankAiEncounter'!F126+2,FALSE)+SUMIF('원본_CardLimitBreak'!$B$2:$B$4,"&lt;="&amp;'원본_RankAiEncounter'!L126,'원본_CardLimitBreak'!$C$2:$C$4)</x:f>
        <x:v>22</x:v>
      </x:c>
      <x:c r="M131" t="n">
        <x:f>VLOOKUP(G131,'카드성장'!$A$7:$G$46,'원본_RankAiEncounter'!G126+2,FALSE)+SUMIF('원본_CardLimitBreak'!$B$2:$B$4,"&lt;="&amp;'원본_RankAiEncounter'!M126,'원본_CardLimitBreak'!$C$2:$C$4)</x:f>
        <x:v>18</x:v>
      </x:c>
      <x:c r="N131" t="n">
        <x:f>VLOOKUP(H131,'카드성장'!$A$7:$G$46,'원본_RankAiEncounter'!H126+2,FALSE)+SUMIF('원본_CardLimitBreak'!$B$2:$B$4,"&lt;="&amp;'원본_RankAiEncounter'!N126,'원본_CardLimitBreak'!$C$2:$C$4)</x:f>
        <x:v>23</x:v>
      </x:c>
      <x:c r="O131" t="n">
        <x:f>VLOOKUP(I131,'카드성장'!$A$7:$G$46,'원본_RankAiEncounter'!I126+2,FALSE)+SUMIF('원본_CardLimitBreak'!$B$2:$B$4,"&lt;="&amp;'원본_RankAiEncounter'!O126,'원본_CardLimitBreak'!$C$2:$C$4)</x:f>
        <x:v>21</x:v>
      </x:c>
      <x:c r="P131" t="n">
        <x:f>VLOOKUP(J131,'카드성장'!$A$7:$G$46,'원본_RankAiEncounter'!J126+2,FALSE)+SUMIF('원본_CardLimitBreak'!$B$2:$B$4,"&lt;="&amp;'원본_RankAiEncounter'!P126,'원본_CardLimitBreak'!$C$2:$C$4)</x:f>
        <x:v>20</x:v>
      </x:c>
      <x:c r="Q131" t="n">
        <x:f>SUM(K131:P131)</x:f>
        <x:v>127</x:v>
      </x:c>
    </x:row>
    <x:row r="132">
      <x:c r="A132" t="n">
        <x:f>'원본_RankAiEncounter'!B127</x:f>
        <x:v>18</x:v>
      </x:c>
      <x:c r="B132" t="str">
        <x:f>'원본_RankAiEncounter'!C127</x:f>
        <x:v>Normal</x:v>
      </x:c>
      <x:c r="C132" t="str">
        <x:f>'원본_RankAiEncounter'!D127</x:f>
        <x:v>deck_09</x:v>
      </x:c>
      <x:c r="D132" t="n">
        <x:f>MAX(1,VLOOKUP(C132,'원본_AIDeck'!$B$2:$N$47,5,FALSE))</x:f>
        <x:v>1</x:v>
      </x:c>
      <x:c r="E132" t="n">
        <x:f>VLOOKUP(C132,'원본_AIDeck'!$B$2:$N$47,8,FALSE)</x:f>
        <x:v>31</x:v>
      </x:c>
      <x:c r="F132" t="n">
        <x:f>VLOOKUP(C132,'원본_AIDeck'!$B$2:$N$47,9,FALSE)</x:f>
        <x:v>37</x:v>
      </x:c>
      <x:c r="G132" t="n">
        <x:f>VLOOKUP(C132,'원본_AIDeck'!$B$2:$N$47,10,FALSE)</x:f>
        <x:v>38</x:v>
      </x:c>
      <x:c r="H132" t="n">
        <x:f>VLOOKUP(C132,'원본_AIDeck'!$B$2:$N$47,11,FALSE)</x:f>
        <x:v>6</x:v>
      </x:c>
      <x:c r="I132" t="n">
        <x:f>VLOOKUP(C132,'원본_AIDeck'!$B$2:$N$47,12,FALSE)</x:f>
        <x:v>39</x:v>
      </x:c>
      <x:c r="J132" t="n">
        <x:f>VLOOKUP(C132,'원본_AIDeck'!$B$2:$N$47,13,FALSE)</x:f>
        <x:v>14</x:v>
      </x:c>
      <x:c r="K132" t="n">
        <x:f>VLOOKUP(E132,'카드성장'!$A$7:$G$46,'원본_RankAiEncounter'!E127+2,FALSE)+SUMIF('원본_CardLimitBreak'!$B$2:$B$4,"&lt;="&amp;'원본_RankAiEncounter'!K127,'원본_CardLimitBreak'!$C$2:$C$4)</x:f>
        <x:v>20</x:v>
      </x:c>
      <x:c r="L132" t="n">
        <x:f>VLOOKUP(F132,'카드성장'!$A$7:$G$46,'원본_RankAiEncounter'!F127+2,FALSE)+SUMIF('원본_CardLimitBreak'!$B$2:$B$4,"&lt;="&amp;'원본_RankAiEncounter'!L127,'원본_CardLimitBreak'!$C$2:$C$4)</x:f>
        <x:v>19</x:v>
      </x:c>
      <x:c r="M132" t="n">
        <x:f>VLOOKUP(G132,'카드성장'!$A$7:$G$46,'원본_RankAiEncounter'!G127+2,FALSE)+SUMIF('원본_CardLimitBreak'!$B$2:$B$4,"&lt;="&amp;'원본_RankAiEncounter'!M127,'원본_CardLimitBreak'!$C$2:$C$4)</x:f>
        <x:v>21</x:v>
      </x:c>
      <x:c r="N132" t="n">
        <x:f>VLOOKUP(H132,'카드성장'!$A$7:$G$46,'원본_RankAiEncounter'!H127+2,FALSE)+SUMIF('원본_CardLimitBreak'!$B$2:$B$4,"&lt;="&amp;'원본_RankAiEncounter'!N127,'원본_CardLimitBreak'!$C$2:$C$4)</x:f>
        <x:v>23</x:v>
      </x:c>
      <x:c r="O132" t="n">
        <x:f>VLOOKUP(I132,'카드성장'!$A$7:$G$46,'원본_RankAiEncounter'!I127+2,FALSE)+SUMIF('원본_CardLimitBreak'!$B$2:$B$4,"&lt;="&amp;'원본_RankAiEncounter'!O127,'원본_CardLimitBreak'!$C$2:$C$4)</x:f>
        <x:v>22</x:v>
      </x:c>
      <x:c r="P132" t="n">
        <x:f>VLOOKUP(J132,'카드성장'!$A$7:$G$46,'원본_RankAiEncounter'!J127+2,FALSE)+SUMIF('원본_CardLimitBreak'!$B$2:$B$4,"&lt;="&amp;'원본_RankAiEncounter'!P127,'원본_CardLimitBreak'!$C$2:$C$4)</x:f>
        <x:v>20</x:v>
      </x:c>
      <x:c r="Q132" t="n">
        <x:f>SUM(K132:P132)</x:f>
        <x:v>125</x:v>
      </x:c>
    </x:row>
    <x:row r="133">
      <x:c r="A133" t="n">
        <x:f>'원본_RankAiEncounter'!B128</x:f>
        <x:v>19</x:v>
      </x:c>
      <x:c r="B133" t="str">
        <x:f>'원본_RankAiEncounter'!C128</x:f>
        <x:v>Normal</x:v>
      </x:c>
      <x:c r="C133" t="str">
        <x:f>'원본_RankAiEncounter'!D128</x:f>
        <x:v>deck_01</x:v>
      </x:c>
      <x:c r="D133" t="n">
        <x:f>MAX(1,VLOOKUP(C133,'원본_AIDeck'!$B$2:$N$47,5,FALSE))</x:f>
        <x:v>1</x:v>
      </x:c>
      <x:c r="E133" t="n">
        <x:f>VLOOKUP(C133,'원본_AIDeck'!$B$2:$N$47,8,FALSE)</x:f>
        <x:v>20</x:v>
      </x:c>
      <x:c r="F133" t="n">
        <x:f>VLOOKUP(C133,'원본_AIDeck'!$B$2:$N$47,9,FALSE)</x:f>
        <x:v>18</x:v>
      </x:c>
      <x:c r="G133" t="n">
        <x:f>VLOOKUP(C133,'원본_AIDeck'!$B$2:$N$47,10,FALSE)</x:f>
        <x:v>19</x:v>
      </x:c>
      <x:c r="H133" t="n">
        <x:f>VLOOKUP(C133,'원본_AIDeck'!$B$2:$N$47,11,FALSE)</x:f>
        <x:v>6</x:v>
      </x:c>
      <x:c r="I133" t="n">
        <x:f>VLOOKUP(C133,'원본_AIDeck'!$B$2:$N$47,12,FALSE)</x:f>
        <x:v>13</x:v>
      </x:c>
      <x:c r="J133" t="n">
        <x:f>VLOOKUP(C133,'원본_AIDeck'!$B$2:$N$47,13,FALSE)</x:f>
        <x:v>14</x:v>
      </x:c>
      <x:c r="K133" t="n">
        <x:f>VLOOKUP(E133,'카드성장'!$A$7:$G$46,'원본_RankAiEncounter'!E128+2,FALSE)+SUMIF('원본_CardLimitBreak'!$B$2:$B$4,"&lt;="&amp;'원본_RankAiEncounter'!K128,'원본_CardLimitBreak'!$C$2:$C$4)</x:f>
        <x:v>21</x:v>
      </x:c>
      <x:c r="L133" t="n">
        <x:f>VLOOKUP(F133,'카드성장'!$A$7:$G$46,'원본_RankAiEncounter'!F128+2,FALSE)+SUMIF('원본_CardLimitBreak'!$B$2:$B$4,"&lt;="&amp;'원본_RankAiEncounter'!L128,'원본_CardLimitBreak'!$C$2:$C$4)</x:f>
        <x:v>17</x:v>
      </x:c>
      <x:c r="M133" t="n">
        <x:f>VLOOKUP(G133,'카드성장'!$A$7:$G$46,'원본_RankAiEncounter'!G128+2,FALSE)+SUMIF('원본_CardLimitBreak'!$B$2:$B$4,"&lt;="&amp;'원본_RankAiEncounter'!M128,'원본_CardLimitBreak'!$C$2:$C$4)</x:f>
        <x:v>19</x:v>
      </x:c>
      <x:c r="N133" t="n">
        <x:f>VLOOKUP(H133,'카드성장'!$A$7:$G$46,'원본_RankAiEncounter'!H128+2,FALSE)+SUMIF('원본_CardLimitBreak'!$B$2:$B$4,"&lt;="&amp;'원본_RankAiEncounter'!N128,'원본_CardLimitBreak'!$C$2:$C$4)</x:f>
        <x:v>23</x:v>
      </x:c>
      <x:c r="O133" t="n">
        <x:f>VLOOKUP(I133,'카드성장'!$A$7:$G$46,'원본_RankAiEncounter'!I128+2,FALSE)+SUMIF('원본_CardLimitBreak'!$B$2:$B$4,"&lt;="&amp;'원본_RankAiEncounter'!O128,'원본_CardLimitBreak'!$C$2:$C$4)</x:f>
        <x:v>20</x:v>
      </x:c>
      <x:c r="P133" t="n">
        <x:f>VLOOKUP(J133,'카드성장'!$A$7:$G$46,'원본_RankAiEncounter'!J128+2,FALSE)+SUMIF('원본_CardLimitBreak'!$B$2:$B$4,"&lt;="&amp;'원본_RankAiEncounter'!P128,'원본_CardLimitBreak'!$C$2:$C$4)</x:f>
        <x:v>20</x:v>
      </x:c>
      <x:c r="Q133" t="n">
        <x:f>SUM(K133:P133)</x:f>
        <x:v>120</x:v>
      </x:c>
    </x:row>
    <x:row r="134">
      <x:c r="A134" t="n">
        <x:f>'원본_RankAiEncounter'!B129</x:f>
        <x:v>19</x:v>
      </x:c>
      <x:c r="B134" t="str">
        <x:f>'원본_RankAiEncounter'!C129</x:f>
        <x:v>Normal</x:v>
      </x:c>
      <x:c r="C134" t="str">
        <x:f>'원본_RankAiEncounter'!D129</x:f>
        <x:v>deck_02</x:v>
      </x:c>
      <x:c r="D134" t="n">
        <x:f>MAX(1,VLOOKUP(C134,'원본_AIDeck'!$B$2:$N$47,5,FALSE))</x:f>
        <x:v>1</x:v>
      </x:c>
      <x:c r="E134" t="n">
        <x:f>VLOOKUP(C134,'원본_AIDeck'!$B$2:$N$47,8,FALSE)</x:f>
        <x:v>20</x:v>
      </x:c>
      <x:c r="F134" t="n">
        <x:f>VLOOKUP(C134,'원본_AIDeck'!$B$2:$N$47,9,FALSE)</x:f>
        <x:v>18</x:v>
      </x:c>
      <x:c r="G134" t="n">
        <x:f>VLOOKUP(C134,'원본_AIDeck'!$B$2:$N$47,10,FALSE)</x:f>
        <x:v>19</x:v>
      </x:c>
      <x:c r="H134" t="n">
        <x:f>VLOOKUP(C134,'원본_AIDeck'!$B$2:$N$47,11,FALSE)</x:f>
        <x:v>4</x:v>
      </x:c>
      <x:c r="I134" t="n">
        <x:f>VLOOKUP(C134,'원본_AIDeck'!$B$2:$N$47,12,FALSE)</x:f>
        <x:v>37</x:v>
      </x:c>
      <x:c r="J134" t="n">
        <x:f>VLOOKUP(C134,'원본_AIDeck'!$B$2:$N$47,13,FALSE)</x:f>
        <x:v>31</x:v>
      </x:c>
      <x:c r="K134" t="n">
        <x:f>VLOOKUP(E134,'카드성장'!$A$7:$G$46,'원본_RankAiEncounter'!E129+2,FALSE)+SUMIF('원본_CardLimitBreak'!$B$2:$B$4,"&lt;="&amp;'원본_RankAiEncounter'!K129,'원본_CardLimitBreak'!$C$2:$C$4)</x:f>
        <x:v>21</x:v>
      </x:c>
      <x:c r="L134" t="n">
        <x:f>VLOOKUP(F134,'카드성장'!$A$7:$G$46,'원본_RankAiEncounter'!F129+2,FALSE)+SUMIF('원본_CardLimitBreak'!$B$2:$B$4,"&lt;="&amp;'원본_RankAiEncounter'!L129,'원본_CardLimitBreak'!$C$2:$C$4)</x:f>
        <x:v>17</x:v>
      </x:c>
      <x:c r="M134" t="n">
        <x:f>VLOOKUP(G134,'카드성장'!$A$7:$G$46,'원본_RankAiEncounter'!G129+2,FALSE)+SUMIF('원본_CardLimitBreak'!$B$2:$B$4,"&lt;="&amp;'원본_RankAiEncounter'!M129,'원본_CardLimitBreak'!$C$2:$C$4)</x:f>
        <x:v>19</x:v>
      </x:c>
      <x:c r="N134" t="n">
        <x:f>VLOOKUP(H134,'카드성장'!$A$7:$G$46,'원본_RankAiEncounter'!H129+2,FALSE)+SUMIF('원본_CardLimitBreak'!$B$2:$B$4,"&lt;="&amp;'원본_RankAiEncounter'!N129,'원본_CardLimitBreak'!$C$2:$C$4)</x:f>
        <x:v>21</x:v>
      </x:c>
      <x:c r="O134" t="n">
        <x:f>VLOOKUP(I134,'카드성장'!$A$7:$G$46,'원본_RankAiEncounter'!I129+2,FALSE)+SUMIF('원본_CardLimitBreak'!$B$2:$B$4,"&lt;="&amp;'원본_RankAiEncounter'!O129,'원본_CardLimitBreak'!$C$2:$C$4)</x:f>
        <x:v>20</x:v>
      </x:c>
      <x:c r="P134" t="n">
        <x:f>VLOOKUP(J134,'카드성장'!$A$7:$G$46,'원본_RankAiEncounter'!J129+2,FALSE)+SUMIF('원본_CardLimitBreak'!$B$2:$B$4,"&lt;="&amp;'원본_RankAiEncounter'!P129,'원본_CardLimitBreak'!$C$2:$C$4)</x:f>
        <x:v>21</x:v>
      </x:c>
      <x:c r="Q134" t="n">
        <x:f>SUM(K134:P134)</x:f>
        <x:v>119</x:v>
      </x:c>
    </x:row>
    <x:row r="135">
      <x:c r="A135" t="n">
        <x:f>'원본_RankAiEncounter'!B130</x:f>
        <x:v>19</x:v>
      </x:c>
      <x:c r="B135" t="str">
        <x:f>'원본_RankAiEncounter'!C130</x:f>
        <x:v>Normal</x:v>
      </x:c>
      <x:c r="C135" t="str">
        <x:f>'원본_RankAiEncounter'!D130</x:f>
        <x:v>deck_03</x:v>
      </x:c>
      <x:c r="D135" t="n">
        <x:f>MAX(1,VLOOKUP(C135,'원본_AIDeck'!$B$2:$N$47,5,FALSE))</x:f>
        <x:v>1</x:v>
      </x:c>
      <x:c r="E135" t="n">
        <x:f>VLOOKUP(C135,'원본_AIDeck'!$B$2:$N$47,8,FALSE)</x:f>
        <x:v>4</x:v>
      </x:c>
      <x:c r="F135" t="n">
        <x:f>VLOOKUP(C135,'원본_AIDeck'!$B$2:$N$47,9,FALSE)</x:f>
        <x:v>2</x:v>
      </x:c>
      <x:c r="G135" t="n">
        <x:f>VLOOKUP(C135,'원본_AIDeck'!$B$2:$N$47,10,FALSE)</x:f>
        <x:v>1</x:v>
      </x:c>
      <x:c r="H135" t="n">
        <x:f>VLOOKUP(C135,'원본_AIDeck'!$B$2:$N$47,11,FALSE)</x:f>
        <x:v>6</x:v>
      </x:c>
      <x:c r="I135" t="n">
        <x:f>VLOOKUP(C135,'원본_AIDeck'!$B$2:$N$47,12,FALSE)</x:f>
        <x:v>28</x:v>
      </x:c>
      <x:c r="J135" t="n">
        <x:f>VLOOKUP(C135,'원본_AIDeck'!$B$2:$N$47,13,FALSE)</x:f>
        <x:v>12</x:v>
      </x:c>
      <x:c r="K135" t="n">
        <x:f>VLOOKUP(E135,'카드성장'!$A$7:$G$46,'원본_RankAiEncounter'!E130+2,FALSE)+SUMIF('원본_CardLimitBreak'!$B$2:$B$4,"&lt;="&amp;'원본_RankAiEncounter'!K130,'원본_CardLimitBreak'!$C$2:$C$4)</x:f>
        <x:v>21</x:v>
      </x:c>
      <x:c r="L135" t="n">
        <x:f>VLOOKUP(F135,'카드성장'!$A$7:$G$46,'원본_RankAiEncounter'!F130+2,FALSE)+SUMIF('원본_CardLimitBreak'!$B$2:$B$4,"&lt;="&amp;'원본_RankAiEncounter'!L130,'원본_CardLimitBreak'!$C$2:$C$4)</x:f>
        <x:v>17</x:v>
      </x:c>
      <x:c r="M135" t="n">
        <x:f>VLOOKUP(G135,'카드성장'!$A$7:$G$46,'원본_RankAiEncounter'!G130+2,FALSE)+SUMIF('원본_CardLimitBreak'!$B$2:$B$4,"&lt;="&amp;'원본_RankAiEncounter'!M130,'원본_CardLimitBreak'!$C$2:$C$4)</x:f>
        <x:v>17</x:v>
      </x:c>
      <x:c r="N135" t="n">
        <x:f>VLOOKUP(H135,'카드성장'!$A$7:$G$46,'원본_RankAiEncounter'!H130+2,FALSE)+SUMIF('원본_CardLimitBreak'!$B$2:$B$4,"&lt;="&amp;'원본_RankAiEncounter'!N130,'원본_CardLimitBreak'!$C$2:$C$4)</x:f>
        <x:v>23</x:v>
      </x:c>
      <x:c r="O135" t="n">
        <x:f>VLOOKUP(I135,'카드성장'!$A$7:$G$46,'원본_RankAiEncounter'!I130+2,FALSE)+SUMIF('원본_CardLimitBreak'!$B$2:$B$4,"&lt;="&amp;'원본_RankAiEncounter'!O130,'원본_CardLimitBreak'!$C$2:$C$4)</x:f>
        <x:v>23</x:v>
      </x:c>
      <x:c r="P135" t="n">
        <x:f>VLOOKUP(J135,'카드성장'!$A$7:$G$46,'원본_RankAiEncounter'!J130+2,FALSE)+SUMIF('원본_CardLimitBreak'!$B$2:$B$4,"&lt;="&amp;'원본_RankAiEncounter'!P130,'원본_CardLimitBreak'!$C$2:$C$4)</x:f>
        <x:v>21</x:v>
      </x:c>
      <x:c r="Q135" t="n">
        <x:f>SUM(K135:P135)</x:f>
        <x:v>122</x:v>
      </x:c>
    </x:row>
    <x:row r="136">
      <x:c r="A136" t="n">
        <x:f>'원본_RankAiEncounter'!B131</x:f>
        <x:v>19</x:v>
      </x:c>
      <x:c r="B136" t="str">
        <x:f>'원본_RankAiEncounter'!C131</x:f>
        <x:v>Normal</x:v>
      </x:c>
      <x:c r="C136" t="str">
        <x:f>'원본_RankAiEncounter'!D131</x:f>
        <x:v>deck_04</x:v>
      </x:c>
      <x:c r="D136" t="n">
        <x:f>MAX(1,VLOOKUP(C136,'원본_AIDeck'!$B$2:$N$47,5,FALSE))</x:f>
        <x:v>1</x:v>
      </x:c>
      <x:c r="E136" t="n">
        <x:f>VLOOKUP(C136,'원본_AIDeck'!$B$2:$N$47,8,FALSE)</x:f>
        <x:v>4</x:v>
      </x:c>
      <x:c r="F136" t="n">
        <x:f>VLOOKUP(C136,'원본_AIDeck'!$B$2:$N$47,9,FALSE)</x:f>
        <x:v>2</x:v>
      </x:c>
      <x:c r="G136" t="n">
        <x:f>VLOOKUP(C136,'원본_AIDeck'!$B$2:$N$47,10,FALSE)</x:f>
        <x:v>32</x:v>
      </x:c>
      <x:c r="H136" t="n">
        <x:f>VLOOKUP(C136,'원본_AIDeck'!$B$2:$N$47,11,FALSE)</x:f>
        <x:v>27</x:v>
      </x:c>
      <x:c r="I136" t="n">
        <x:f>VLOOKUP(C136,'원본_AIDeck'!$B$2:$N$47,12,FALSE)</x:f>
        <x:v>6</x:v>
      </x:c>
      <x:c r="J136" t="n">
        <x:f>VLOOKUP(C136,'원본_AIDeck'!$B$2:$N$47,13,FALSE)</x:f>
        <x:v>38</x:v>
      </x:c>
      <x:c r="K136" t="n">
        <x:f>VLOOKUP(E136,'카드성장'!$A$7:$G$46,'원본_RankAiEncounter'!E131+2,FALSE)+SUMIF('원본_CardLimitBreak'!$B$2:$B$4,"&lt;="&amp;'원본_RankAiEncounter'!K131,'원본_CardLimitBreak'!$C$2:$C$4)</x:f>
        <x:v>21</x:v>
      </x:c>
      <x:c r="L136" t="n">
        <x:f>VLOOKUP(F136,'카드성장'!$A$7:$G$46,'원본_RankAiEncounter'!F131+2,FALSE)+SUMIF('원본_CardLimitBreak'!$B$2:$B$4,"&lt;="&amp;'원본_RankAiEncounter'!L131,'원본_CardLimitBreak'!$C$2:$C$4)</x:f>
        <x:v>17</x:v>
      </x:c>
      <x:c r="M136" t="n">
        <x:f>VLOOKUP(G136,'카드성장'!$A$7:$G$46,'원본_RankAiEncounter'!G131+2,FALSE)+SUMIF('원본_CardLimitBreak'!$B$2:$B$4,"&lt;="&amp;'원본_RankAiEncounter'!M131,'원본_CardLimitBreak'!$C$2:$C$4)</x:f>
        <x:v>20</x:v>
      </x:c>
      <x:c r="N136" t="n">
        <x:f>VLOOKUP(H136,'카드성장'!$A$7:$G$46,'원본_RankAiEncounter'!H131+2,FALSE)+SUMIF('원본_CardLimitBreak'!$B$2:$B$4,"&lt;="&amp;'원본_RankAiEncounter'!N131,'원본_CardLimitBreak'!$C$2:$C$4)</x:f>
        <x:v>18</x:v>
      </x:c>
      <x:c r="O136" t="n">
        <x:f>VLOOKUP(I136,'카드성장'!$A$7:$G$46,'원본_RankAiEncounter'!I131+2,FALSE)+SUMIF('원본_CardLimitBreak'!$B$2:$B$4,"&lt;="&amp;'원본_RankAiEncounter'!O131,'원본_CardLimitBreak'!$C$2:$C$4)</x:f>
        <x:v>23</x:v>
      </x:c>
      <x:c r="P136" t="n">
        <x:f>VLOOKUP(J136,'카드성장'!$A$7:$G$46,'원본_RankAiEncounter'!J131+2,FALSE)+SUMIF('원본_CardLimitBreak'!$B$2:$B$4,"&lt;="&amp;'원본_RankAiEncounter'!P131,'원본_CardLimitBreak'!$C$2:$C$4)</x:f>
        <x:v>21</x:v>
      </x:c>
      <x:c r="Q136" t="n">
        <x:f>SUM(K136:P136)</x:f>
        <x:v>120</x:v>
      </x:c>
    </x:row>
    <x:row r="137">
      <x:c r="A137" t="n">
        <x:f>'원본_RankAiEncounter'!B132</x:f>
        <x:v>19</x:v>
      </x:c>
      <x:c r="B137" t="str">
        <x:f>'원본_RankAiEncounter'!C132</x:f>
        <x:v>Normal</x:v>
      </x:c>
      <x:c r="C137" t="str">
        <x:f>'원본_RankAiEncounter'!D132</x:f>
        <x:v>deck_05</x:v>
      </x:c>
      <x:c r="D137" t="n">
        <x:f>MAX(1,VLOOKUP(C137,'원본_AIDeck'!$B$2:$N$47,5,FALSE))</x:f>
        <x:v>1</x:v>
      </x:c>
      <x:c r="E137" t="n">
        <x:f>VLOOKUP(C137,'원본_AIDeck'!$B$2:$N$47,8,FALSE)</x:f>
        <x:v>15</x:v>
      </x:c>
      <x:c r="F137" t="n">
        <x:f>VLOOKUP(C137,'원본_AIDeck'!$B$2:$N$47,9,FALSE)</x:f>
        <x:v>16</x:v>
      </x:c>
      <x:c r="G137" t="n">
        <x:f>VLOOKUP(C137,'원본_AIDeck'!$B$2:$N$47,10,FALSE)</x:f>
        <x:v>25</x:v>
      </x:c>
      <x:c r="H137" t="n">
        <x:f>VLOOKUP(C137,'원본_AIDeck'!$B$2:$N$47,11,FALSE)</x:f>
        <x:v>20</x:v>
      </x:c>
      <x:c r="I137" t="n">
        <x:f>VLOOKUP(C137,'원본_AIDeck'!$B$2:$N$47,12,FALSE)</x:f>
        <x:v>29</x:v>
      </x:c>
      <x:c r="J137" t="n">
        <x:f>VLOOKUP(C137,'원본_AIDeck'!$B$2:$N$47,13,FALSE)</x:f>
        <x:v>37</x:v>
      </x:c>
      <x:c r="K137" t="n">
        <x:f>VLOOKUP(E137,'카드성장'!$A$7:$G$46,'원본_RankAiEncounter'!E132+2,FALSE)+SUMIF('원본_CardLimitBreak'!$B$2:$B$4,"&lt;="&amp;'원본_RankAiEncounter'!K132,'원본_CardLimitBreak'!$C$2:$C$4)</x:f>
        <x:v>18</x:v>
      </x:c>
      <x:c r="L137" t="n">
        <x:f>VLOOKUP(F137,'카드성장'!$A$7:$G$46,'원본_RankAiEncounter'!F132+2,FALSE)+SUMIF('원본_CardLimitBreak'!$B$2:$B$4,"&lt;="&amp;'원본_RankAiEncounter'!L132,'원본_CardLimitBreak'!$C$2:$C$4)</x:f>
        <x:v>17</x:v>
      </x:c>
      <x:c r="M137" t="n">
        <x:f>VLOOKUP(G137,'카드성장'!$A$7:$G$46,'원본_RankAiEncounter'!G132+2,FALSE)+SUMIF('원본_CardLimitBreak'!$B$2:$B$4,"&lt;="&amp;'원본_RankAiEncounter'!M132,'원본_CardLimitBreak'!$C$2:$C$4)</x:f>
        <x:v>20</x:v>
      </x:c>
      <x:c r="N137" t="n">
        <x:f>VLOOKUP(H137,'카드성장'!$A$7:$G$46,'원본_RankAiEncounter'!H132+2,FALSE)+SUMIF('원본_CardLimitBreak'!$B$2:$B$4,"&lt;="&amp;'원본_RankAiEncounter'!N132,'원본_CardLimitBreak'!$C$2:$C$4)</x:f>
        <x:v>21</x:v>
      </x:c>
      <x:c r="O137" t="n">
        <x:f>VLOOKUP(I137,'카드성장'!$A$7:$G$46,'원본_RankAiEncounter'!I132+2,FALSE)+SUMIF('원본_CardLimitBreak'!$B$2:$B$4,"&lt;="&amp;'원본_RankAiEncounter'!O132,'원본_CardLimitBreak'!$C$2:$C$4)</x:f>
        <x:v>19</x:v>
      </x:c>
      <x:c r="P137" t="n">
        <x:f>VLOOKUP(J137,'카드성장'!$A$7:$G$46,'원본_RankAiEncounter'!J132+2,FALSE)+SUMIF('원본_CardLimitBreak'!$B$2:$B$4,"&lt;="&amp;'원본_RankAiEncounter'!P132,'원본_CardLimitBreak'!$C$2:$C$4)</x:f>
        <x:v>20</x:v>
      </x:c>
      <x:c r="Q137" t="n">
        <x:f>SUM(K137:P137)</x:f>
        <x:v>115</x:v>
      </x:c>
    </x:row>
    <x:row r="138">
      <x:c r="A138" t="n">
        <x:f>'원본_RankAiEncounter'!B133</x:f>
        <x:v>19</x:v>
      </x:c>
      <x:c r="B138" t="str">
        <x:f>'원본_RankAiEncounter'!C133</x:f>
        <x:v>Normal</x:v>
      </x:c>
      <x:c r="C138" t="str">
        <x:f>'원본_RankAiEncounter'!D133</x:f>
        <x:v>deck_06</x:v>
      </x:c>
      <x:c r="D138" t="n">
        <x:f>MAX(1,VLOOKUP(C138,'원본_AIDeck'!$B$2:$N$47,5,FALSE))</x:f>
        <x:v>1</x:v>
      </x:c>
      <x:c r="E138" t="n">
        <x:f>VLOOKUP(C138,'원본_AIDeck'!$B$2:$N$47,8,FALSE)</x:f>
        <x:v>15</x:v>
      </x:c>
      <x:c r="F138" t="n">
        <x:f>VLOOKUP(C138,'원본_AIDeck'!$B$2:$N$47,9,FALSE)</x:f>
        <x:v>16</x:v>
      </x:c>
      <x:c r="G138" t="n">
        <x:f>VLOOKUP(C138,'원본_AIDeck'!$B$2:$N$47,10,FALSE)</x:f>
        <x:v>25</x:v>
      </x:c>
      <x:c r="H138" t="n">
        <x:f>VLOOKUP(C138,'원본_AIDeck'!$B$2:$N$47,11,FALSE)</x:f>
        <x:v>20</x:v>
      </x:c>
      <x:c r="I138" t="n">
        <x:f>VLOOKUP(C138,'원본_AIDeck'!$B$2:$N$47,12,FALSE)</x:f>
        <x:v>6</x:v>
      </x:c>
      <x:c r="J138" t="n">
        <x:f>VLOOKUP(C138,'원본_AIDeck'!$B$2:$N$47,13,FALSE)</x:f>
        <x:v>38</x:v>
      </x:c>
      <x:c r="K138" t="n">
        <x:f>VLOOKUP(E138,'카드성장'!$A$7:$G$46,'원본_RankAiEncounter'!E133+2,FALSE)+SUMIF('원본_CardLimitBreak'!$B$2:$B$4,"&lt;="&amp;'원본_RankAiEncounter'!K133,'원본_CardLimitBreak'!$C$2:$C$4)</x:f>
        <x:v>18</x:v>
      </x:c>
      <x:c r="L138" t="n">
        <x:f>VLOOKUP(F138,'카드성장'!$A$7:$G$46,'원본_RankAiEncounter'!F133+2,FALSE)+SUMIF('원본_CardLimitBreak'!$B$2:$B$4,"&lt;="&amp;'원본_RankAiEncounter'!L133,'원본_CardLimitBreak'!$C$2:$C$4)</x:f>
        <x:v>17</x:v>
      </x:c>
      <x:c r="M138" t="n">
        <x:f>VLOOKUP(G138,'카드성장'!$A$7:$G$46,'원본_RankAiEncounter'!G133+2,FALSE)+SUMIF('원본_CardLimitBreak'!$B$2:$B$4,"&lt;="&amp;'원본_RankAiEncounter'!M133,'원본_CardLimitBreak'!$C$2:$C$4)</x:f>
        <x:v>20</x:v>
      </x:c>
      <x:c r="N138" t="n">
        <x:f>VLOOKUP(H138,'카드성장'!$A$7:$G$46,'원본_RankAiEncounter'!H133+2,FALSE)+SUMIF('원본_CardLimitBreak'!$B$2:$B$4,"&lt;="&amp;'원본_RankAiEncounter'!N133,'원본_CardLimitBreak'!$C$2:$C$4)</x:f>
        <x:v>21</x:v>
      </x:c>
      <x:c r="O138" t="n">
        <x:f>VLOOKUP(I138,'카드성장'!$A$7:$G$46,'원본_RankAiEncounter'!I133+2,FALSE)+SUMIF('원본_CardLimitBreak'!$B$2:$B$4,"&lt;="&amp;'원본_RankAiEncounter'!O133,'원본_CardLimitBreak'!$C$2:$C$4)</x:f>
        <x:v>23</x:v>
      </x:c>
      <x:c r="P138" t="n">
        <x:f>VLOOKUP(J138,'카드성장'!$A$7:$G$46,'원본_RankAiEncounter'!J133+2,FALSE)+SUMIF('원본_CardLimitBreak'!$B$2:$B$4,"&lt;="&amp;'원본_RankAiEncounter'!P133,'원본_CardLimitBreak'!$C$2:$C$4)</x:f>
        <x:v>21</x:v>
      </x:c>
      <x:c r="Q138" t="n">
        <x:f>SUM(K138:P138)</x:f>
        <x:v>120</x:v>
      </x:c>
    </x:row>
    <x:row r="139">
      <x:c r="A139" t="n">
        <x:f>'원본_RankAiEncounter'!B134</x:f>
        <x:v>19</x:v>
      </x:c>
      <x:c r="B139" t="str">
        <x:f>'원본_RankAiEncounter'!C134</x:f>
        <x:v>Normal</x:v>
      </x:c>
      <x:c r="C139" t="str">
        <x:f>'원본_RankAiEncounter'!D134</x:f>
        <x:v>deck_07</x:v>
      </x:c>
      <x:c r="D139" t="n">
        <x:f>MAX(1,VLOOKUP(C139,'원본_AIDeck'!$B$2:$N$47,5,FALSE))</x:f>
        <x:v>1</x:v>
      </x:c>
      <x:c r="E139" t="n">
        <x:f>VLOOKUP(C139,'원본_AIDeck'!$B$2:$N$47,8,FALSE)</x:f>
        <x:v>8</x:v>
      </x:c>
      <x:c r="F139" t="n">
        <x:f>VLOOKUP(C139,'원본_AIDeck'!$B$2:$N$47,9,FALSE)</x:f>
        <x:v>9</x:v>
      </x:c>
      <x:c r="G139" t="n">
        <x:f>VLOOKUP(C139,'원본_AIDeck'!$B$2:$N$47,10,FALSE)</x:f>
        <x:v>10</x:v>
      </x:c>
      <x:c r="H139" t="n">
        <x:f>VLOOKUP(C139,'원본_AIDeck'!$B$2:$N$47,11,FALSE)</x:f>
        <x:v>20</x:v>
      </x:c>
      <x:c r="I139" t="n">
        <x:f>VLOOKUP(C139,'원본_AIDeck'!$B$2:$N$47,12,FALSE)</x:f>
        <x:v>6</x:v>
      </x:c>
      <x:c r="J139" t="n">
        <x:f>VLOOKUP(C139,'원본_AIDeck'!$B$2:$N$47,13,FALSE)</x:f>
        <x:v>27</x:v>
      </x:c>
      <x:c r="K139" t="n">
        <x:f>VLOOKUP(E139,'카드성장'!$A$7:$G$46,'원본_RankAiEncounter'!E134+2,FALSE)+SUMIF('원본_CardLimitBreak'!$B$2:$B$4,"&lt;="&amp;'원본_RankAiEncounter'!K134,'원본_CardLimitBreak'!$C$2:$C$4)</x:f>
        <x:v>21</x:v>
      </x:c>
      <x:c r="L139" t="n">
        <x:f>VLOOKUP(F139,'카드성장'!$A$7:$G$46,'원본_RankAiEncounter'!F134+2,FALSE)+SUMIF('원본_CardLimitBreak'!$B$2:$B$4,"&lt;="&amp;'원본_RankAiEncounter'!L134,'원본_CardLimitBreak'!$C$2:$C$4)</x:f>
        <x:v>17</x:v>
      </x:c>
      <x:c r="M139" t="n">
        <x:f>VLOOKUP(G139,'카드성장'!$A$7:$G$46,'원본_RankAiEncounter'!G134+2,FALSE)+SUMIF('원본_CardLimitBreak'!$B$2:$B$4,"&lt;="&amp;'원본_RankAiEncounter'!M134,'원본_CardLimitBreak'!$C$2:$C$4)</x:f>
        <x:v>20</x:v>
      </x:c>
      <x:c r="N139" t="n">
        <x:f>VLOOKUP(H139,'카드성장'!$A$7:$G$46,'원본_RankAiEncounter'!H134+2,FALSE)+SUMIF('원본_CardLimitBreak'!$B$2:$B$4,"&lt;="&amp;'원본_RankAiEncounter'!N134,'원본_CardLimitBreak'!$C$2:$C$4)</x:f>
        <x:v>21</x:v>
      </x:c>
      <x:c r="O139" t="n">
        <x:f>VLOOKUP(I139,'카드성장'!$A$7:$G$46,'원본_RankAiEncounter'!I134+2,FALSE)+SUMIF('원본_CardLimitBreak'!$B$2:$B$4,"&lt;="&amp;'원본_RankAiEncounter'!O134,'원본_CardLimitBreak'!$C$2:$C$4)</x:f>
        <x:v>23</x:v>
      </x:c>
      <x:c r="P139" t="n">
        <x:f>VLOOKUP(J139,'카드성장'!$A$7:$G$46,'원본_RankAiEncounter'!J134+2,FALSE)+SUMIF('원본_CardLimitBreak'!$B$2:$B$4,"&lt;="&amp;'원본_RankAiEncounter'!P134,'원본_CardLimitBreak'!$C$2:$C$4)</x:f>
        <x:v>18</x:v>
      </x:c>
      <x:c r="Q139" t="n">
        <x:f>SUM(K139:P139)</x:f>
        <x:v>120</x:v>
      </x:c>
    </x:row>
    <x:row r="140">
      <x:c r="A140" t="n">
        <x:f>'원본_RankAiEncounter'!B135</x:f>
        <x:v>19</x:v>
      </x:c>
      <x:c r="B140" t="str">
        <x:f>'원본_RankAiEncounter'!C135</x:f>
        <x:v>Normal</x:v>
      </x:c>
      <x:c r="C140" t="str">
        <x:f>'원본_RankAiEncounter'!D135</x:f>
        <x:v>deck_08</x:v>
      </x:c>
      <x:c r="D140" t="n">
        <x:f>MAX(1,VLOOKUP(C140,'원본_AIDeck'!$B$2:$N$47,5,FALSE))</x:f>
        <x:v>1</x:v>
      </x:c>
      <x:c r="E140" t="n">
        <x:f>VLOOKUP(C140,'원본_AIDeck'!$B$2:$N$47,8,FALSE)</x:f>
        <x:v>5</x:v>
      </x:c>
      <x:c r="F140" t="n">
        <x:f>VLOOKUP(C140,'원본_AIDeck'!$B$2:$N$47,9,FALSE)</x:f>
        <x:v>6</x:v>
      </x:c>
      <x:c r="G140" t="n">
        <x:f>VLOOKUP(C140,'원본_AIDeck'!$B$2:$N$47,10,FALSE)</x:f>
        <x:v>33</x:v>
      </x:c>
      <x:c r="H140" t="n">
        <x:f>VLOOKUP(C140,'원본_AIDeck'!$B$2:$N$47,11,FALSE)</x:f>
        <x:v>28</x:v>
      </x:c>
      <x:c r="I140" t="n">
        <x:f>VLOOKUP(C140,'원본_AIDeck'!$B$2:$N$47,12,FALSE)</x:f>
        <x:v>12</x:v>
      </x:c>
      <x:c r="J140" t="n">
        <x:f>VLOOKUP(C140,'원본_AIDeck'!$B$2:$N$47,13,FALSE)</x:f>
        <x:v>10</x:v>
      </x:c>
      <x:c r="K140" t="n">
        <x:f>VLOOKUP(E140,'카드성장'!$A$7:$G$46,'원본_RankAiEncounter'!E135+2,FALSE)+SUMIF('원본_CardLimitBreak'!$B$2:$B$4,"&lt;="&amp;'원본_RankAiEncounter'!K135,'원본_CardLimitBreak'!$C$2:$C$4)</x:f>
        <x:v>23</x:v>
      </x:c>
      <x:c r="L140" t="n">
        <x:f>VLOOKUP(F140,'카드성장'!$A$7:$G$46,'원본_RankAiEncounter'!F135+2,FALSE)+SUMIF('원본_CardLimitBreak'!$B$2:$B$4,"&lt;="&amp;'원본_RankAiEncounter'!L135,'원본_CardLimitBreak'!$C$2:$C$4)</x:f>
        <x:v>23</x:v>
      </x:c>
      <x:c r="M140" t="n">
        <x:f>VLOOKUP(G140,'카드성장'!$A$7:$G$46,'원본_RankAiEncounter'!G135+2,FALSE)+SUMIF('원본_CardLimitBreak'!$B$2:$B$4,"&lt;="&amp;'원본_RankAiEncounter'!M135,'원본_CardLimitBreak'!$C$2:$C$4)</x:f>
        <x:v>19</x:v>
      </x:c>
      <x:c r="N140" t="n">
        <x:f>VLOOKUP(H140,'카드성장'!$A$7:$G$46,'원본_RankAiEncounter'!H135+2,FALSE)+SUMIF('원본_CardLimitBreak'!$B$2:$B$4,"&lt;="&amp;'원본_RankAiEncounter'!N135,'원본_CardLimitBreak'!$C$2:$C$4)</x:f>
        <x:v>23</x:v>
      </x:c>
      <x:c r="O140" t="n">
        <x:f>VLOOKUP(I140,'카드성장'!$A$7:$G$46,'원본_RankAiEncounter'!I135+2,FALSE)+SUMIF('원본_CardLimitBreak'!$B$2:$B$4,"&lt;="&amp;'원본_RankAiEncounter'!O135,'원본_CardLimitBreak'!$C$2:$C$4)</x:f>
        <x:v>21</x:v>
      </x:c>
      <x:c r="P140" t="n">
        <x:f>VLOOKUP(J140,'카드성장'!$A$7:$G$46,'원본_RankAiEncounter'!J135+2,FALSE)+SUMIF('원본_CardLimitBreak'!$B$2:$B$4,"&lt;="&amp;'원본_RankAiEncounter'!P135,'원본_CardLimitBreak'!$C$2:$C$4)</x:f>
        <x:v>20</x:v>
      </x:c>
      <x:c r="Q140" t="n">
        <x:f>SUM(K140:P140)</x:f>
        <x:v>129</x:v>
      </x:c>
    </x:row>
    <x:row r="141">
      <x:c r="A141" t="n">
        <x:f>'원본_RankAiEncounter'!B136</x:f>
        <x:v>19</x:v>
      </x:c>
      <x:c r="B141" t="str">
        <x:f>'원본_RankAiEncounter'!C136</x:f>
        <x:v>Normal</x:v>
      </x:c>
      <x:c r="C141" t="str">
        <x:f>'원본_RankAiEncounter'!D136</x:f>
        <x:v>deck_09</x:v>
      </x:c>
      <x:c r="D141" t="n">
        <x:f>MAX(1,VLOOKUP(C141,'원본_AIDeck'!$B$2:$N$47,5,FALSE))</x:f>
        <x:v>1</x:v>
      </x:c>
      <x:c r="E141" t="n">
        <x:f>VLOOKUP(C141,'원본_AIDeck'!$B$2:$N$47,8,FALSE)</x:f>
        <x:v>31</x:v>
      </x:c>
      <x:c r="F141" t="n">
        <x:f>VLOOKUP(C141,'원본_AIDeck'!$B$2:$N$47,9,FALSE)</x:f>
        <x:v>37</x:v>
      </x:c>
      <x:c r="G141" t="n">
        <x:f>VLOOKUP(C141,'원본_AIDeck'!$B$2:$N$47,10,FALSE)</x:f>
        <x:v>38</x:v>
      </x:c>
      <x:c r="H141" t="n">
        <x:f>VLOOKUP(C141,'원본_AIDeck'!$B$2:$N$47,11,FALSE)</x:f>
        <x:v>6</x:v>
      </x:c>
      <x:c r="I141" t="n">
        <x:f>VLOOKUP(C141,'원본_AIDeck'!$B$2:$N$47,12,FALSE)</x:f>
        <x:v>39</x:v>
      </x:c>
      <x:c r="J141" t="n">
        <x:f>VLOOKUP(C141,'원본_AIDeck'!$B$2:$N$47,13,FALSE)</x:f>
        <x:v>14</x:v>
      </x:c>
      <x:c r="K141" t="n">
        <x:f>VLOOKUP(E141,'카드성장'!$A$7:$G$46,'원본_RankAiEncounter'!E136+2,FALSE)+SUMIF('원본_CardLimitBreak'!$B$2:$B$4,"&lt;="&amp;'원본_RankAiEncounter'!K136,'원본_CardLimitBreak'!$C$2:$C$4)</x:f>
        <x:v>21</x:v>
      </x:c>
      <x:c r="L141" t="n">
        <x:f>VLOOKUP(F141,'카드성장'!$A$7:$G$46,'원본_RankAiEncounter'!F136+2,FALSE)+SUMIF('원본_CardLimitBreak'!$B$2:$B$4,"&lt;="&amp;'원본_RankAiEncounter'!L136,'원본_CardLimitBreak'!$C$2:$C$4)</x:f>
        <x:v>20</x:v>
      </x:c>
      <x:c r="M141" t="n">
        <x:f>VLOOKUP(G141,'카드성장'!$A$7:$G$46,'원본_RankAiEncounter'!G136+2,FALSE)+SUMIF('원본_CardLimitBreak'!$B$2:$B$4,"&lt;="&amp;'원본_RankAiEncounter'!M136,'원본_CardLimitBreak'!$C$2:$C$4)</x:f>
        <x:v>21</x:v>
      </x:c>
      <x:c r="N141" t="n">
        <x:f>VLOOKUP(H141,'카드성장'!$A$7:$G$46,'원본_RankAiEncounter'!H136+2,FALSE)+SUMIF('원본_CardLimitBreak'!$B$2:$B$4,"&lt;="&amp;'원본_RankAiEncounter'!N136,'원본_CardLimitBreak'!$C$2:$C$4)</x:f>
        <x:v>23</x:v>
      </x:c>
      <x:c r="O141" t="n">
        <x:f>VLOOKUP(I141,'카드성장'!$A$7:$G$46,'원본_RankAiEncounter'!I136+2,FALSE)+SUMIF('원본_CardLimitBreak'!$B$2:$B$4,"&lt;="&amp;'원본_RankAiEncounter'!O136,'원본_CardLimitBreak'!$C$2:$C$4)</x:f>
        <x:v>22</x:v>
      </x:c>
      <x:c r="P141" t="n">
        <x:f>VLOOKUP(J141,'카드성장'!$A$7:$G$46,'원본_RankAiEncounter'!J136+2,FALSE)+SUMIF('원본_CardLimitBreak'!$B$2:$B$4,"&lt;="&amp;'원본_RankAiEncounter'!P136,'원본_CardLimitBreak'!$C$2:$C$4)</x:f>
        <x:v>20</x:v>
      </x:c>
      <x:c r="Q141" t="n">
        <x:f>SUM(K141:P141)</x:f>
        <x:v>127</x:v>
      </x:c>
    </x:row>
    <x:row r="142">
      <x:c r="A142" t="n">
        <x:f>'원본_RankAiEncounter'!B137</x:f>
        <x:v>3</x:v>
      </x:c>
      <x:c r="B142" t="str">
        <x:f>'원본_RankAiEncounter'!C137</x:f>
        <x:v>GradeFinal</x:v>
      </x:c>
      <x:c r="C142" t="str">
        <x:f>'원본_RankAiEncounter'!D137</x:f>
        <x:v>deck_12</x:v>
      </x:c>
      <x:c r="D142" t="n">
        <x:f>MAX(1,VLOOKUP(C142,'원본_AIDeck'!$B$2:$N$47,5,FALSE))</x:f>
        <x:v>1</x:v>
      </x:c>
      <x:c r="E142" t="n">
        <x:f>VLOOKUP(C142,'원본_AIDeck'!$B$2:$N$47,8,FALSE)</x:f>
        <x:v>17</x:v>
      </x:c>
      <x:c r="F142" t="n">
        <x:f>VLOOKUP(C142,'원본_AIDeck'!$B$2:$N$47,9,FALSE)</x:f>
        <x:v>18</x:v>
      </x:c>
      <x:c r="G142" t="n">
        <x:f>VLOOKUP(C142,'원본_AIDeck'!$B$2:$N$47,10,FALSE)</x:f>
        <x:v>2</x:v>
      </x:c>
      <x:c r="H142" t="n">
        <x:f>VLOOKUP(C142,'원본_AIDeck'!$B$2:$N$47,11,FALSE)</x:f>
        <x:v>20</x:v>
      </x:c>
      <x:c r="I142" t="n">
        <x:f>VLOOKUP(C142,'원본_AIDeck'!$B$2:$N$47,12,FALSE)</x:f>
        <x:v>6</x:v>
      </x:c>
      <x:c r="J142" t="n">
        <x:f>VLOOKUP(C142,'원본_AIDeck'!$B$2:$N$47,13,FALSE)</x:f>
        <x:v>27</x:v>
      </x:c>
      <x:c r="K142" t="n">
        <x:f>VLOOKUP(E142,'카드성장'!$A$7:$G$46,'원본_RankAiEncounter'!E137+2,FALSE)+SUMIF('원본_CardLimitBreak'!$B$2:$B$4,"&lt;="&amp;'원본_RankAiEncounter'!K137,'원본_CardLimitBreak'!$C$2:$C$4)</x:f>
        <x:v>15</x:v>
      </x:c>
      <x:c r="L142" t="n">
        <x:f>VLOOKUP(F142,'카드성장'!$A$7:$G$46,'원본_RankAiEncounter'!F137+2,FALSE)+SUMIF('원본_CardLimitBreak'!$B$2:$B$4,"&lt;="&amp;'원본_RankAiEncounter'!L137,'원본_CardLimitBreak'!$C$2:$C$4)</x:f>
        <x:v>14</x:v>
      </x:c>
      <x:c r="M142" t="n">
        <x:f>VLOOKUP(G142,'카드성장'!$A$7:$G$46,'원본_RankAiEncounter'!G137+2,FALSE)+SUMIF('원본_CardLimitBreak'!$B$2:$B$4,"&lt;="&amp;'원본_RankAiEncounter'!M137,'원본_CardLimitBreak'!$C$2:$C$4)</x:f>
        <x:v>7</x:v>
      </x:c>
      <x:c r="N142" t="n">
        <x:f>VLOOKUP(H142,'카드성장'!$A$7:$G$46,'원본_RankAiEncounter'!H137+2,FALSE)+SUMIF('원본_CardLimitBreak'!$B$2:$B$4,"&lt;="&amp;'원본_RankAiEncounter'!N137,'원본_CardLimitBreak'!$C$2:$C$4)</x:f>
        <x:v>8</x:v>
      </x:c>
      <x:c r="O142" t="n">
        <x:f>VLOOKUP(I142,'카드성장'!$A$7:$G$46,'원본_RankAiEncounter'!I137+2,FALSE)+SUMIF('원본_CardLimitBreak'!$B$2:$B$4,"&lt;="&amp;'원본_RankAiEncounter'!O137,'원본_CardLimitBreak'!$C$2:$C$4)</x:f>
        <x:v>10</x:v>
      </x:c>
      <x:c r="P142" t="n">
        <x:f>VLOOKUP(J142,'카드성장'!$A$7:$G$46,'원본_RankAiEncounter'!J137+2,FALSE)+SUMIF('원본_CardLimitBreak'!$B$2:$B$4,"&lt;="&amp;'원본_RankAiEncounter'!P137,'원본_CardLimitBreak'!$C$2:$C$4)</x:f>
        <x:v>7</x:v>
      </x:c>
      <x:c r="Q142" t="n">
        <x:f>SUM(K142:P142)</x:f>
        <x:v>61</x:v>
      </x:c>
    </x:row>
    <x:row r="143">
      <x:c r="A143" t="n">
        <x:f>'원본_RankAiEncounter'!B138</x:f>
        <x:v>3</x:v>
      </x:c>
      <x:c r="B143" t="str">
        <x:f>'원본_RankAiEncounter'!C138</x:f>
        <x:v>GradeFinal</x:v>
      </x:c>
      <x:c r="C143" t="str">
        <x:f>'원본_RankAiEncounter'!D138</x:f>
        <x:v>deck_13</x:v>
      </x:c>
      <x:c r="D143" t="n">
        <x:f>MAX(1,VLOOKUP(C143,'원본_AIDeck'!$B$2:$N$47,5,FALSE))</x:f>
        <x:v>1</x:v>
      </x:c>
      <x:c r="E143" t="n">
        <x:f>VLOOKUP(C143,'원본_AIDeck'!$B$2:$N$47,8,FALSE)</x:f>
        <x:v>29</x:v>
      </x:c>
      <x:c r="F143" t="n">
        <x:f>VLOOKUP(C143,'원본_AIDeck'!$B$2:$N$47,9,FALSE)</x:f>
        <x:v>20</x:v>
      </x:c>
      <x:c r="G143" t="n">
        <x:f>VLOOKUP(C143,'원본_AIDeck'!$B$2:$N$47,10,FALSE)</x:f>
        <x:v>5</x:v>
      </x:c>
      <x:c r="H143" t="n">
        <x:f>VLOOKUP(C143,'원본_AIDeck'!$B$2:$N$47,11,FALSE)</x:f>
        <x:v>37</x:v>
      </x:c>
      <x:c r="I143" t="n">
        <x:f>VLOOKUP(C143,'원본_AIDeck'!$B$2:$N$47,12,FALSE)</x:f>
        <x:v>28</x:v>
      </x:c>
      <x:c r="J143" t="n">
        <x:f>VLOOKUP(C143,'원본_AIDeck'!$B$2:$N$47,13,FALSE)</x:f>
        <x:v>2</x:v>
      </x:c>
      <x:c r="K143" t="n">
        <x:f>VLOOKUP(E143,'카드성장'!$A$7:$G$46,'원본_RankAiEncounter'!E138+2,FALSE)+SUMIF('원본_CardLimitBreak'!$B$2:$B$4,"&lt;="&amp;'원본_RankAiEncounter'!K138,'원본_CardLimitBreak'!$C$2:$C$4)</x:f>
        <x:v>16</x:v>
      </x:c>
      <x:c r="L143" t="n">
        <x:f>VLOOKUP(F143,'카드성장'!$A$7:$G$46,'원본_RankAiEncounter'!F138+2,FALSE)+SUMIF('원본_CardLimitBreak'!$B$2:$B$4,"&lt;="&amp;'원본_RankAiEncounter'!L138,'원본_CardLimitBreak'!$C$2:$C$4)</x:f>
        <x:v>8</x:v>
      </x:c>
      <x:c r="M143" t="n">
        <x:f>VLOOKUP(G143,'카드성장'!$A$7:$G$46,'원본_RankAiEncounter'!G138+2,FALSE)+SUMIF('원본_CardLimitBreak'!$B$2:$B$4,"&lt;="&amp;'원본_RankAiEncounter'!M138,'원본_CardLimitBreak'!$C$2:$C$4)</x:f>
        <x:v>9</x:v>
      </x:c>
      <x:c r="N143" t="n">
        <x:f>VLOOKUP(H143,'카드성장'!$A$7:$G$46,'원본_RankAiEncounter'!H138+2,FALSE)+SUMIF('원본_CardLimitBreak'!$B$2:$B$4,"&lt;="&amp;'원본_RankAiEncounter'!N138,'원본_CardLimitBreak'!$C$2:$C$4)</x:f>
        <x:v>17</x:v>
      </x:c>
      <x:c r="O143" t="n">
        <x:f>VLOOKUP(I143,'카드성장'!$A$7:$G$46,'원본_RankAiEncounter'!I138+2,FALSE)+SUMIF('원본_CardLimitBreak'!$B$2:$B$4,"&lt;="&amp;'원본_RankAiEncounter'!O138,'원본_CardLimitBreak'!$C$2:$C$4)</x:f>
        <x:v>10</x:v>
      </x:c>
      <x:c r="P143" t="n">
        <x:f>VLOOKUP(J143,'카드성장'!$A$7:$G$46,'원본_RankAiEncounter'!J138+2,FALSE)+SUMIF('원본_CardLimitBreak'!$B$2:$B$4,"&lt;="&amp;'원본_RankAiEncounter'!P138,'원본_CardLimitBreak'!$C$2:$C$4)</x:f>
        <x:v>7</x:v>
      </x:c>
      <x:c r="Q143" t="n">
        <x:f>SUM(K143:P143)</x:f>
        <x:v>67</x:v>
      </x:c>
    </x:row>
    <x:row r="144">
      <x:c r="A144" t="n">
        <x:f>'원본_RankAiEncounter'!B139</x:f>
        <x:v>3</x:v>
      </x:c>
      <x:c r="B144" t="str">
        <x:f>'원본_RankAiEncounter'!C139</x:f>
        <x:v>GradeFinal</x:v>
      </x:c>
      <x:c r="C144" t="str">
        <x:f>'원본_RankAiEncounter'!D139</x:f>
        <x:v>deck_14</x:v>
      </x:c>
      <x:c r="D144" t="n">
        <x:f>MAX(1,VLOOKUP(C144,'원본_AIDeck'!$B$2:$N$47,5,FALSE))</x:f>
        <x:v>1</x:v>
      </x:c>
      <x:c r="E144" t="n">
        <x:f>VLOOKUP(C144,'원본_AIDeck'!$B$2:$N$47,8,FALSE)</x:f>
        <x:v>20</x:v>
      </x:c>
      <x:c r="F144" t="n">
        <x:f>VLOOKUP(C144,'원본_AIDeck'!$B$2:$N$47,9,FALSE)</x:f>
        <x:v>18</x:v>
      </x:c>
      <x:c r="G144" t="n">
        <x:f>VLOOKUP(C144,'원본_AIDeck'!$B$2:$N$47,10,FALSE)</x:f>
        <x:v>9</x:v>
      </x:c>
      <x:c r="H144" t="n">
        <x:f>VLOOKUP(C144,'원본_AIDeck'!$B$2:$N$47,11,FALSE)</x:f>
        <x:v>4</x:v>
      </x:c>
      <x:c r="I144" t="n">
        <x:f>VLOOKUP(C144,'원본_AIDeck'!$B$2:$N$47,12,FALSE)</x:f>
        <x:v>8</x:v>
      </x:c>
      <x:c r="J144" t="n">
        <x:f>VLOOKUP(C144,'원본_AIDeck'!$B$2:$N$47,13,FALSE)</x:f>
        <x:v>6</x:v>
      </x:c>
      <x:c r="K144" t="n">
        <x:f>VLOOKUP(E144,'카드성장'!$A$7:$G$46,'원본_RankAiEncounter'!E139+2,FALSE)+SUMIF('원본_CardLimitBreak'!$B$2:$B$4,"&lt;="&amp;'원본_RankAiEncounter'!K139,'원본_CardLimitBreak'!$C$2:$C$4)</x:f>
        <x:v>18</x:v>
      </x:c>
      <x:c r="L144" t="n">
        <x:f>VLOOKUP(F144,'카드성장'!$A$7:$G$46,'원본_RankAiEncounter'!F139+2,FALSE)+SUMIF('원본_CardLimitBreak'!$B$2:$B$4,"&lt;="&amp;'원본_RankAiEncounter'!L139,'원본_CardLimitBreak'!$C$2:$C$4)</x:f>
        <x:v>7</x:v>
      </x:c>
      <x:c r="M144" t="n">
        <x:f>VLOOKUP(G144,'카드성장'!$A$7:$G$46,'원본_RankAiEncounter'!G139+2,FALSE)+SUMIF('원본_CardLimitBreak'!$B$2:$B$4,"&lt;="&amp;'원본_RankAiEncounter'!M139,'원본_CardLimitBreak'!$C$2:$C$4)</x:f>
        <x:v>14</x:v>
      </x:c>
      <x:c r="N144" t="n">
        <x:f>VLOOKUP(H144,'카드성장'!$A$7:$G$46,'원본_RankAiEncounter'!H139+2,FALSE)+SUMIF('원본_CardLimitBreak'!$B$2:$B$4,"&lt;="&amp;'원본_RankAiEncounter'!N139,'원본_CardLimitBreak'!$C$2:$C$4)</x:f>
        <x:v>9</x:v>
      </x:c>
      <x:c r="O144" t="n">
        <x:f>VLOOKUP(I144,'카드성장'!$A$7:$G$46,'원본_RankAiEncounter'!I139+2,FALSE)+SUMIF('원본_CardLimitBreak'!$B$2:$B$4,"&lt;="&amp;'원본_RankAiEncounter'!O139,'원본_CardLimitBreak'!$C$2:$C$4)</x:f>
        <x:v>8</x:v>
      </x:c>
      <x:c r="P144" t="n">
        <x:f>VLOOKUP(J144,'카드성장'!$A$7:$G$46,'원본_RankAiEncounter'!J139+2,FALSE)+SUMIF('원본_CardLimitBreak'!$B$2:$B$4,"&lt;="&amp;'원본_RankAiEncounter'!P139,'원본_CardLimitBreak'!$C$2:$C$4)</x:f>
        <x:v>10</x:v>
      </x:c>
      <x:c r="Q144" t="n">
        <x:f>SUM(K144:P144)</x:f>
        <x:v>66</x:v>
      </x:c>
    </x:row>
    <x:row r="145">
      <x:c r="A145" t="n">
        <x:f>'원본_RankAiEncounter'!B140</x:f>
        <x:v>3</x:v>
      </x:c>
      <x:c r="B145" t="str">
        <x:f>'원본_RankAiEncounter'!C140</x:f>
        <x:v>GradeFinal</x:v>
      </x:c>
      <x:c r="C145" t="str">
        <x:f>'원본_RankAiEncounter'!D140</x:f>
        <x:v>deck_15</x:v>
      </x:c>
      <x:c r="D145" t="n">
        <x:f>MAX(1,VLOOKUP(C145,'원본_AIDeck'!$B$2:$N$47,5,FALSE))</x:f>
        <x:v>1</x:v>
      </x:c>
      <x:c r="E145" t="n">
        <x:f>VLOOKUP(C145,'원본_AIDeck'!$B$2:$N$47,8,FALSE)</x:f>
        <x:v>19</x:v>
      </x:c>
      <x:c r="F145" t="n">
        <x:f>VLOOKUP(C145,'원본_AIDeck'!$B$2:$N$47,9,FALSE)</x:f>
        <x:v>13</x:v>
      </x:c>
      <x:c r="G145" t="n">
        <x:f>VLOOKUP(C145,'원본_AIDeck'!$B$2:$N$47,10,FALSE)</x:f>
        <x:v>20</x:v>
      </x:c>
      <x:c r="H145" t="n">
        <x:f>VLOOKUP(C145,'원본_AIDeck'!$B$2:$N$47,11,FALSE)</x:f>
        <x:v>25</x:v>
      </x:c>
      <x:c r="I145" t="n">
        <x:f>VLOOKUP(C145,'원본_AIDeck'!$B$2:$N$47,12,FALSE)</x:f>
        <x:v>6</x:v>
      </x:c>
      <x:c r="J145" t="n">
        <x:f>VLOOKUP(C145,'원본_AIDeck'!$B$2:$N$47,13,FALSE)</x:f>
        <x:v>3</x:v>
      </x:c>
      <x:c r="K145" t="n">
        <x:f>VLOOKUP(E145,'카드성장'!$A$7:$G$46,'원본_RankAiEncounter'!E140+2,FALSE)+SUMIF('원본_CardLimitBreak'!$B$2:$B$4,"&lt;="&amp;'원본_RankAiEncounter'!K140,'원본_CardLimitBreak'!$C$2:$C$4)</x:f>
        <x:v>16</x:v>
      </x:c>
      <x:c r="L145" t="n">
        <x:f>VLOOKUP(F145,'카드성장'!$A$7:$G$46,'원본_RankAiEncounter'!F140+2,FALSE)+SUMIF('원본_CardLimitBreak'!$B$2:$B$4,"&lt;="&amp;'원본_RankAiEncounter'!L140,'원본_CardLimitBreak'!$C$2:$C$4)</x:f>
        <x:v>9</x:v>
      </x:c>
      <x:c r="M145" t="n">
        <x:f>VLOOKUP(G145,'카드성장'!$A$7:$G$46,'원본_RankAiEncounter'!G140+2,FALSE)+SUMIF('원본_CardLimitBreak'!$B$2:$B$4,"&lt;="&amp;'원본_RankAiEncounter'!M140,'원본_CardLimitBreak'!$C$2:$C$4)</x:f>
        <x:v>8</x:v>
      </x:c>
      <x:c r="N145" t="n">
        <x:f>VLOOKUP(H145,'카드성장'!$A$7:$G$46,'원본_RankAiEncounter'!H140+2,FALSE)+SUMIF('원본_CardLimitBreak'!$B$2:$B$4,"&lt;="&amp;'원본_RankAiEncounter'!N140,'원본_CardLimitBreak'!$C$2:$C$4)</x:f>
        <x:v>17</x:v>
      </x:c>
      <x:c r="O145" t="n">
        <x:f>VLOOKUP(I145,'카드성장'!$A$7:$G$46,'원본_RankAiEncounter'!I140+2,FALSE)+SUMIF('원본_CardLimitBreak'!$B$2:$B$4,"&lt;="&amp;'원본_RankAiEncounter'!O140,'원본_CardLimitBreak'!$C$2:$C$4)</x:f>
        <x:v>10</x:v>
      </x:c>
      <x:c r="P145" t="n">
        <x:f>VLOOKUP(J145,'카드성장'!$A$7:$G$46,'원본_RankAiEncounter'!J140+2,FALSE)+SUMIF('원본_CardLimitBreak'!$B$2:$B$4,"&lt;="&amp;'원본_RankAiEncounter'!P140,'원본_CardLimitBreak'!$C$2:$C$4)</x:f>
        <x:v>6</x:v>
      </x:c>
      <x:c r="Q145" t="n">
        <x:f>SUM(K145:P145)</x:f>
        <x:v>66</x:v>
      </x:c>
    </x:row>
    <x:row r="146">
      <x:c r="A146" t="n">
        <x:f>'원본_RankAiEncounter'!B141</x:f>
        <x:v>3</x:v>
      </x:c>
      <x:c r="B146" t="str">
        <x:f>'원본_RankAiEncounter'!C141</x:f>
        <x:v>GradeFinal</x:v>
      </x:c>
      <x:c r="C146" t="str">
        <x:f>'원본_RankAiEncounter'!D141</x:f>
        <x:v>deck_16</x:v>
      </x:c>
      <x:c r="D146" t="n">
        <x:f>MAX(1,VLOOKUP(C146,'원본_AIDeck'!$B$2:$N$47,5,FALSE))</x:f>
        <x:v>1</x:v>
      </x:c>
      <x:c r="E146" t="n">
        <x:f>VLOOKUP(C146,'원본_AIDeck'!$B$2:$N$47,8,FALSE)</x:f>
        <x:v>4</x:v>
      </x:c>
      <x:c r="F146" t="n">
        <x:f>VLOOKUP(C146,'원본_AIDeck'!$B$2:$N$47,9,FALSE)</x:f>
        <x:v>1</x:v>
      </x:c>
      <x:c r="G146" t="n">
        <x:f>VLOOKUP(C146,'원본_AIDeck'!$B$2:$N$47,10,FALSE)</x:f>
        <x:v>3</x:v>
      </x:c>
      <x:c r="H146" t="n">
        <x:f>VLOOKUP(C146,'원본_AIDeck'!$B$2:$N$47,11,FALSE)</x:f>
        <x:v>2</x:v>
      </x:c>
      <x:c r="I146" t="n">
        <x:f>VLOOKUP(C146,'원본_AIDeck'!$B$2:$N$47,12,FALSE)</x:f>
        <x:v>20</x:v>
      </x:c>
      <x:c r="J146" t="n">
        <x:f>VLOOKUP(C146,'원본_AIDeck'!$B$2:$N$47,13,FALSE)</x:f>
        <x:v>7</x:v>
      </x:c>
      <x:c r="K146" t="n">
        <x:f>VLOOKUP(E146,'카드성장'!$A$7:$G$46,'원본_RankAiEncounter'!E141+2,FALSE)+SUMIF('원본_CardLimitBreak'!$B$2:$B$4,"&lt;="&amp;'원본_RankAiEncounter'!K141,'원본_CardLimitBreak'!$C$2:$C$4)</x:f>
        <x:v>18</x:v>
      </x:c>
      <x:c r="L146" t="n">
        <x:f>VLOOKUP(F146,'카드성장'!$A$7:$G$46,'원본_RankAiEncounter'!F141+2,FALSE)+SUMIF('원본_CardLimitBreak'!$B$2:$B$4,"&lt;="&amp;'원본_RankAiEncounter'!L141,'원본_CardLimitBreak'!$C$2:$C$4)</x:f>
        <x:v>6</x:v>
      </x:c>
      <x:c r="M146" t="n">
        <x:f>VLOOKUP(G146,'카드성장'!$A$7:$G$46,'원본_RankAiEncounter'!G141+2,FALSE)+SUMIF('원본_CardLimitBreak'!$B$2:$B$4,"&lt;="&amp;'원본_RankAiEncounter'!M141,'원본_CardLimitBreak'!$C$2:$C$4)</x:f>
        <x:v>6</x:v>
      </x:c>
      <x:c r="N146" t="n">
        <x:f>VLOOKUP(H146,'카드성장'!$A$7:$G$46,'원본_RankAiEncounter'!H141+2,FALSE)+SUMIF('원본_CardLimitBreak'!$B$2:$B$4,"&lt;="&amp;'원본_RankAiEncounter'!N141,'원본_CardLimitBreak'!$C$2:$C$4)</x:f>
        <x:v>14</x:v>
      </x:c>
      <x:c r="O146" t="n">
        <x:f>VLOOKUP(I146,'카드성장'!$A$7:$G$46,'원본_RankAiEncounter'!I141+2,FALSE)+SUMIF('원본_CardLimitBreak'!$B$2:$B$4,"&lt;="&amp;'원본_RankAiEncounter'!O141,'원본_CardLimitBreak'!$C$2:$C$4)</x:f>
        <x:v>8</x:v>
      </x:c>
      <x:c r="P146" t="n">
        <x:f>VLOOKUP(J146,'카드성장'!$A$7:$G$46,'원본_RankAiEncounter'!J141+2,FALSE)+SUMIF('원본_CardLimitBreak'!$B$2:$B$4,"&lt;="&amp;'원본_RankAiEncounter'!P141,'원본_CardLimitBreak'!$C$2:$C$4)</x:f>
        <x:v>9</x:v>
      </x:c>
      <x:c r="Q146" t="n">
        <x:f>SUM(K146:P146)</x:f>
        <x:v>61</x:v>
      </x:c>
    </x:row>
    <x:row r="147">
      <x:c r="A147" t="n">
        <x:f>'원본_RankAiEncounter'!B142</x:f>
        <x:v>7</x:v>
      </x:c>
      <x:c r="B147" t="str">
        <x:f>'원본_RankAiEncounter'!C142</x:f>
        <x:v>GradeFinal</x:v>
      </x:c>
      <x:c r="C147" t="str">
        <x:f>'원본_RankAiEncounter'!D142</x:f>
        <x:v>deck_19</x:v>
      </x:c>
      <x:c r="D147" t="n">
        <x:f>MAX(1,VLOOKUP(C147,'원본_AIDeck'!$B$2:$N$47,5,FALSE))</x:f>
        <x:v>1</x:v>
      </x:c>
      <x:c r="E147" t="n">
        <x:f>VLOOKUP(C147,'원본_AIDeck'!$B$2:$N$47,8,FALSE)</x:f>
        <x:v>31</x:v>
      </x:c>
      <x:c r="F147" t="n">
        <x:f>VLOOKUP(C147,'원본_AIDeck'!$B$2:$N$47,9,FALSE)</x:f>
        <x:v>37</x:v>
      </x:c>
      <x:c r="G147" t="n">
        <x:f>VLOOKUP(C147,'원본_AIDeck'!$B$2:$N$47,10,FALSE)</x:f>
        <x:v>29</x:v>
      </x:c>
      <x:c r="H147" t="n">
        <x:f>VLOOKUP(C147,'원본_AIDeck'!$B$2:$N$47,11,FALSE)</x:f>
        <x:v>20</x:v>
      </x:c>
      <x:c r="I147" t="n">
        <x:f>VLOOKUP(C147,'원본_AIDeck'!$B$2:$N$47,12,FALSE)</x:f>
        <x:v>6</x:v>
      </x:c>
      <x:c r="J147" t="n">
        <x:f>VLOOKUP(C147,'원본_AIDeck'!$B$2:$N$47,13,FALSE)</x:f>
        <x:v>27</x:v>
      </x:c>
      <x:c r="K147" t="n">
        <x:f>VLOOKUP(E147,'카드성장'!$A$7:$G$46,'원본_RankAiEncounter'!E142+2,FALSE)+SUMIF('원본_CardLimitBreak'!$B$2:$B$4,"&lt;="&amp;'원본_RankAiEncounter'!K142,'원본_CardLimitBreak'!$C$2:$C$4)</x:f>
        <x:v>18</x:v>
      </x:c>
      <x:c r="L147" t="n">
        <x:f>VLOOKUP(F147,'카드성장'!$A$7:$G$46,'원본_RankAiEncounter'!F142+2,FALSE)+SUMIF('원본_CardLimitBreak'!$B$2:$B$4,"&lt;="&amp;'원본_RankAiEncounter'!L142,'원본_CardLimitBreak'!$C$2:$C$4)</x:f>
        <x:v>17</x:v>
      </x:c>
      <x:c r="M147" t="n">
        <x:f>VLOOKUP(G147,'카드성장'!$A$7:$G$46,'원본_RankAiEncounter'!G142+2,FALSE)+SUMIF('원본_CardLimitBreak'!$B$2:$B$4,"&lt;="&amp;'원본_RankAiEncounter'!M142,'원본_CardLimitBreak'!$C$2:$C$4)</x:f>
        <x:v>16</x:v>
      </x:c>
      <x:c r="N147" t="n">
        <x:f>VLOOKUP(H147,'카드성장'!$A$7:$G$46,'원본_RankAiEncounter'!H142+2,FALSE)+SUMIF('원본_CardLimitBreak'!$B$2:$B$4,"&lt;="&amp;'원본_RankAiEncounter'!N142,'원본_CardLimitBreak'!$C$2:$C$4)</x:f>
        <x:v>8</x:v>
      </x:c>
      <x:c r="O147" t="n">
        <x:f>VLOOKUP(I147,'카드성장'!$A$7:$G$46,'원본_RankAiEncounter'!I142+2,FALSE)+SUMIF('원본_CardLimitBreak'!$B$2:$B$4,"&lt;="&amp;'원본_RankAiEncounter'!O142,'원본_CardLimitBreak'!$C$2:$C$4)</x:f>
        <x:v>10</x:v>
      </x:c>
      <x:c r="P147" t="n">
        <x:f>VLOOKUP(J147,'카드성장'!$A$7:$G$46,'원본_RankAiEncounter'!J142+2,FALSE)+SUMIF('원본_CardLimitBreak'!$B$2:$B$4,"&lt;="&amp;'원본_RankAiEncounter'!P142,'원본_CardLimitBreak'!$C$2:$C$4)</x:f>
        <x:v>7</x:v>
      </x:c>
      <x:c r="Q147" t="n">
        <x:f>SUM(K147:P147)</x:f>
        <x:v>76</x:v>
      </x:c>
    </x:row>
    <x:row r="148">
      <x:c r="A148" t="n">
        <x:f>'원본_RankAiEncounter'!B143</x:f>
        <x:v>7</x:v>
      </x:c>
      <x:c r="B148" t="str">
        <x:f>'원본_RankAiEncounter'!C143</x:f>
        <x:v>GradeFinal</x:v>
      </x:c>
      <x:c r="C148" t="str">
        <x:f>'원본_RankAiEncounter'!D143</x:f>
        <x:v>deck_20</x:v>
      </x:c>
      <x:c r="D148" t="n">
        <x:f>MAX(1,VLOOKUP(C148,'원본_AIDeck'!$B$2:$N$47,5,FALSE))</x:f>
        <x:v>1</x:v>
      </x:c>
      <x:c r="E148" t="n">
        <x:f>VLOOKUP(C148,'원본_AIDeck'!$B$2:$N$47,8,FALSE)</x:f>
        <x:v>6</x:v>
      </x:c>
      <x:c r="F148" t="n">
        <x:f>VLOOKUP(C148,'원본_AIDeck'!$B$2:$N$47,9,FALSE)</x:f>
        <x:v>38</x:v>
      </x:c>
      <x:c r="G148" t="n">
        <x:f>VLOOKUP(C148,'원본_AIDeck'!$B$2:$N$47,10,FALSE)</x:f>
        <x:v>20</x:v>
      </x:c>
      <x:c r="H148" t="n">
        <x:f>VLOOKUP(C148,'원본_AIDeck'!$B$2:$N$47,11,FALSE)</x:f>
        <x:v>30</x:v>
      </x:c>
      <x:c r="I148" t="n">
        <x:f>VLOOKUP(C148,'원본_AIDeck'!$B$2:$N$47,12,FALSE)</x:f>
        <x:v>23</x:v>
      </x:c>
      <x:c r="J148" t="n">
        <x:f>VLOOKUP(C148,'원본_AIDeck'!$B$2:$N$47,13,FALSE)</x:f>
        <x:v>27</x:v>
      </x:c>
      <x:c r="K148" t="n">
        <x:f>VLOOKUP(E148,'카드성장'!$A$7:$G$46,'원본_RankAiEncounter'!E143+2,FALSE)+SUMIF('원본_CardLimitBreak'!$B$2:$B$4,"&lt;="&amp;'원본_RankAiEncounter'!K143,'원본_CardLimitBreak'!$C$2:$C$4)</x:f>
        <x:v>20</x:v>
      </x:c>
      <x:c r="L148" t="n">
        <x:f>VLOOKUP(F148,'카드성장'!$A$7:$G$46,'원본_RankAiEncounter'!F143+2,FALSE)+SUMIF('원본_CardLimitBreak'!$B$2:$B$4,"&lt;="&amp;'원본_RankAiEncounter'!L143,'원본_CardLimitBreak'!$C$2:$C$4)</x:f>
        <x:v>18</x:v>
      </x:c>
      <x:c r="M148" t="n">
        <x:f>VLOOKUP(G148,'카드성장'!$A$7:$G$46,'원본_RankAiEncounter'!G143+2,FALSE)+SUMIF('원본_CardLimitBreak'!$B$2:$B$4,"&lt;="&amp;'원본_RankAiEncounter'!M143,'원본_CardLimitBreak'!$C$2:$C$4)</x:f>
        <x:v>18</x:v>
      </x:c>
      <x:c r="N148" t="n">
        <x:f>VLOOKUP(H148,'카드성장'!$A$7:$G$46,'원본_RankAiEncounter'!H143+2,FALSE)+SUMIF('원본_CardLimitBreak'!$B$2:$B$4,"&lt;="&amp;'원본_RankAiEncounter'!N143,'원본_CardLimitBreak'!$C$2:$C$4)</x:f>
        <x:v>8</x:v>
      </x:c>
      <x:c r="O148" t="n">
        <x:f>VLOOKUP(I148,'카드성장'!$A$7:$G$46,'원본_RankAiEncounter'!I143+2,FALSE)+SUMIF('원본_CardLimitBreak'!$B$2:$B$4,"&lt;="&amp;'원본_RankAiEncounter'!O143,'원본_CardLimitBreak'!$C$2:$C$4)</x:f>
        <x:v>9</x:v>
      </x:c>
      <x:c r="P148" t="n">
        <x:f>VLOOKUP(J148,'카드성장'!$A$7:$G$46,'원본_RankAiEncounter'!J143+2,FALSE)+SUMIF('원본_CardLimitBreak'!$B$2:$B$4,"&lt;="&amp;'원본_RankAiEncounter'!P143,'원본_CardLimitBreak'!$C$2:$C$4)</x:f>
        <x:v>7</x:v>
      </x:c>
      <x:c r="Q148" t="n">
        <x:f>SUM(K148:P148)</x:f>
        <x:v>80</x:v>
      </x:c>
    </x:row>
    <x:row r="149">
      <x:c r="A149" t="n">
        <x:f>'원본_RankAiEncounter'!B144</x:f>
        <x:v>7</x:v>
      </x:c>
      <x:c r="B149" t="str">
        <x:f>'원본_RankAiEncounter'!C144</x:f>
        <x:v>GradeFinal</x:v>
      </x:c>
      <x:c r="C149" t="str">
        <x:f>'원본_RankAiEncounter'!D144</x:f>
        <x:v>deck_21</x:v>
      </x:c>
      <x:c r="D149" t="n">
        <x:f>MAX(1,VLOOKUP(C149,'원본_AIDeck'!$B$2:$N$47,5,FALSE))</x:f>
        <x:v>1</x:v>
      </x:c>
      <x:c r="E149" t="n">
        <x:f>VLOOKUP(C149,'원본_AIDeck'!$B$2:$N$47,8,FALSE)</x:f>
        <x:v>17</x:v>
      </x:c>
      <x:c r="F149" t="n">
        <x:f>VLOOKUP(C149,'원본_AIDeck'!$B$2:$N$47,9,FALSE)</x:f>
        <x:v>18</x:v>
      </x:c>
      <x:c r="G149" t="n">
        <x:f>VLOOKUP(C149,'원본_AIDeck'!$B$2:$N$47,10,FALSE)</x:f>
        <x:v>6</x:v>
      </x:c>
      <x:c r="H149" t="n">
        <x:f>VLOOKUP(C149,'원본_AIDeck'!$B$2:$N$47,11,FALSE)</x:f>
        <x:v>19</x:v>
      </x:c>
      <x:c r="I149" t="n">
        <x:f>VLOOKUP(C149,'원본_AIDeck'!$B$2:$N$47,12,FALSE)</x:f>
        <x:v>13</x:v>
      </x:c>
      <x:c r="J149" t="n">
        <x:f>VLOOKUP(C149,'원본_AIDeck'!$B$2:$N$47,13,FALSE)</x:f>
        <x:v>14</x:v>
      </x:c>
      <x:c r="K149" t="n">
        <x:f>VLOOKUP(E149,'카드성장'!$A$7:$G$46,'원본_RankAiEncounter'!E144+2,FALSE)+SUMIF('원본_CardLimitBreak'!$B$2:$B$4,"&lt;="&amp;'원본_RankAiEncounter'!K144,'원본_CardLimitBreak'!$C$2:$C$4)</x:f>
        <x:v>15</x:v>
      </x:c>
      <x:c r="L149" t="n">
        <x:f>VLOOKUP(F149,'카드성장'!$A$7:$G$46,'원본_RankAiEncounter'!F144+2,FALSE)+SUMIF('원본_CardLimitBreak'!$B$2:$B$4,"&lt;="&amp;'원본_RankAiEncounter'!L144,'원본_CardLimitBreak'!$C$2:$C$4)</x:f>
        <x:v>14</x:v>
      </x:c>
      <x:c r="M149" t="n">
        <x:f>VLOOKUP(G149,'카드성장'!$A$7:$G$46,'원본_RankAiEncounter'!G144+2,FALSE)+SUMIF('원본_CardLimitBreak'!$B$2:$B$4,"&lt;="&amp;'원본_RankAiEncounter'!M144,'원본_CardLimitBreak'!$C$2:$C$4)</x:f>
        <x:v>10</x:v>
      </x:c>
      <x:c r="N149" t="n">
        <x:f>VLOOKUP(H149,'카드성장'!$A$7:$G$46,'원본_RankAiEncounter'!H144+2,FALSE)+SUMIF('원본_CardLimitBreak'!$B$2:$B$4,"&lt;="&amp;'원본_RankAiEncounter'!N144,'원본_CardLimitBreak'!$C$2:$C$4)</x:f>
        <x:v>16</x:v>
      </x:c>
      <x:c r="O149" t="n">
        <x:f>VLOOKUP(I149,'카드성장'!$A$7:$G$46,'원본_RankAiEncounter'!I144+2,FALSE)+SUMIF('원본_CardLimitBreak'!$B$2:$B$4,"&lt;="&amp;'원본_RankAiEncounter'!O144,'원본_CardLimitBreak'!$C$2:$C$4)</x:f>
        <x:v>9</x:v>
      </x:c>
      <x:c r="P149" t="n">
        <x:f>VLOOKUP(J149,'카드성장'!$A$7:$G$46,'원본_RankAiEncounter'!J144+2,FALSE)+SUMIF('원본_CardLimitBreak'!$B$2:$B$4,"&lt;="&amp;'원본_RankAiEncounter'!P144,'원본_CardLimitBreak'!$C$2:$C$4)</x:f>
        <x:v>8</x:v>
      </x:c>
      <x:c r="Q149" t="n">
        <x:f>SUM(K149:P149)</x:f>
        <x:v>72</x:v>
      </x:c>
    </x:row>
    <x:row r="150">
      <x:c r="A150" t="n">
        <x:f>'원본_RankAiEncounter'!B145</x:f>
        <x:v>7</x:v>
      </x:c>
      <x:c r="B150" t="str">
        <x:f>'원본_RankAiEncounter'!C145</x:f>
        <x:v>GradeFinal</x:v>
      </x:c>
      <x:c r="C150" t="str">
        <x:f>'원본_RankAiEncounter'!D145</x:f>
        <x:v>deck_22</x:v>
      </x:c>
      <x:c r="D150" t="n">
        <x:f>MAX(1,VLOOKUP(C150,'원본_AIDeck'!$B$2:$N$47,5,FALSE))</x:f>
        <x:v>1</x:v>
      </x:c>
      <x:c r="E150" t="n">
        <x:f>VLOOKUP(C150,'원본_AIDeck'!$B$2:$N$47,8,FALSE)</x:f>
        <x:v>5</x:v>
      </x:c>
      <x:c r="F150" t="n">
        <x:f>VLOOKUP(C150,'원본_AIDeck'!$B$2:$N$47,9,FALSE)</x:f>
        <x:v>12</x:v>
      </x:c>
      <x:c r="G150" t="n">
        <x:f>VLOOKUP(C150,'원본_AIDeck'!$B$2:$N$47,10,FALSE)</x:f>
        <x:v>29</x:v>
      </x:c>
      <x:c r="H150" t="n">
        <x:f>VLOOKUP(C150,'원본_AIDeck'!$B$2:$N$47,11,FALSE)</x:f>
        <x:v>20</x:v>
      </x:c>
      <x:c r="I150" t="n">
        <x:f>VLOOKUP(C150,'원본_AIDeck'!$B$2:$N$47,12,FALSE)</x:f>
        <x:v>28</x:v>
      </x:c>
      <x:c r="J150" t="n">
        <x:f>VLOOKUP(C150,'원본_AIDeck'!$B$2:$N$47,13,FALSE)</x:f>
        <x:v>6</x:v>
      </x:c>
      <x:c r="K150" t="n">
        <x:f>VLOOKUP(E150,'카드성장'!$A$7:$G$46,'원본_RankAiEncounter'!E145+2,FALSE)+SUMIF('원본_CardLimitBreak'!$B$2:$B$4,"&lt;="&amp;'원본_RankAiEncounter'!K145,'원본_CardLimitBreak'!$C$2:$C$4)</x:f>
        <x:v>20</x:v>
      </x:c>
      <x:c r="L150" t="n">
        <x:f>VLOOKUP(F150,'카드성장'!$A$7:$G$46,'원본_RankAiEncounter'!F145+2,FALSE)+SUMIF('원본_CardLimitBreak'!$B$2:$B$4,"&lt;="&amp;'원본_RankAiEncounter'!L145,'원본_CardLimitBreak'!$C$2:$C$4)</x:f>
        <x:v>18</x:v>
      </x:c>
      <x:c r="M150" t="n">
        <x:f>VLOOKUP(G150,'카드성장'!$A$7:$G$46,'원본_RankAiEncounter'!G145+2,FALSE)+SUMIF('원본_CardLimitBreak'!$B$2:$B$4,"&lt;="&amp;'원본_RankAiEncounter'!M145,'원본_CardLimitBreak'!$C$2:$C$4)</x:f>
        <x:v>16</x:v>
      </x:c>
      <x:c r="N150" t="n">
        <x:f>VLOOKUP(H150,'카드성장'!$A$7:$G$46,'원본_RankAiEncounter'!H145+2,FALSE)+SUMIF('원본_CardLimitBreak'!$B$2:$B$4,"&lt;="&amp;'원본_RankAiEncounter'!N145,'원본_CardLimitBreak'!$C$2:$C$4)</x:f>
        <x:v>8</x:v>
      </x:c>
      <x:c r="O150" t="n">
        <x:f>VLOOKUP(I150,'카드성장'!$A$7:$G$46,'원본_RankAiEncounter'!I145+2,FALSE)+SUMIF('원본_CardLimitBreak'!$B$2:$B$4,"&lt;="&amp;'원본_RankAiEncounter'!O145,'원본_CardLimitBreak'!$C$2:$C$4)</x:f>
        <x:v>10</x:v>
      </x:c>
      <x:c r="P150" t="n">
        <x:f>VLOOKUP(J150,'카드성장'!$A$7:$G$46,'원본_RankAiEncounter'!J145+2,FALSE)+SUMIF('원본_CardLimitBreak'!$B$2:$B$4,"&lt;="&amp;'원본_RankAiEncounter'!P145,'원본_CardLimitBreak'!$C$2:$C$4)</x:f>
        <x:v>10</x:v>
      </x:c>
      <x:c r="Q150" t="n">
        <x:f>SUM(K150:P150)</x:f>
        <x:v>82</x:v>
      </x:c>
    </x:row>
    <x:row r="151">
      <x:c r="A151" t="n">
        <x:f>'원본_RankAiEncounter'!B146</x:f>
        <x:v>11</x:v>
      </x:c>
      <x:c r="B151" t="str">
        <x:f>'원본_RankAiEncounter'!C146</x:f>
        <x:v>GradeFinal</x:v>
      </x:c>
      <x:c r="C151" t="str">
        <x:f>'원본_RankAiEncounter'!D146</x:f>
        <x:v>deck_01</x:v>
      </x:c>
      <x:c r="D151" t="n">
        <x:f>MAX(1,VLOOKUP(C151,'원본_AIDeck'!$B$2:$N$47,5,FALSE))</x:f>
        <x:v>1</x:v>
      </x:c>
      <x:c r="E151" t="n">
        <x:f>VLOOKUP(C151,'원본_AIDeck'!$B$2:$N$47,8,FALSE)</x:f>
        <x:v>20</x:v>
      </x:c>
      <x:c r="F151" t="n">
        <x:f>VLOOKUP(C151,'원본_AIDeck'!$B$2:$N$47,9,FALSE)</x:f>
        <x:v>18</x:v>
      </x:c>
      <x:c r="G151" t="n">
        <x:f>VLOOKUP(C151,'원본_AIDeck'!$B$2:$N$47,10,FALSE)</x:f>
        <x:v>19</x:v>
      </x:c>
      <x:c r="H151" t="n">
        <x:f>VLOOKUP(C151,'원본_AIDeck'!$B$2:$N$47,11,FALSE)</x:f>
        <x:v>6</x:v>
      </x:c>
      <x:c r="I151" t="n">
        <x:f>VLOOKUP(C151,'원본_AIDeck'!$B$2:$N$47,12,FALSE)</x:f>
        <x:v>13</x:v>
      </x:c>
      <x:c r="J151" t="n">
        <x:f>VLOOKUP(C151,'원본_AIDeck'!$B$2:$N$47,13,FALSE)</x:f>
        <x:v>14</x:v>
      </x:c>
      <x:c r="K151" t="n">
        <x:f>VLOOKUP(E151,'카드성장'!$A$7:$G$46,'원본_RankAiEncounter'!E146+2,FALSE)+SUMIF('원본_CardLimitBreak'!$B$2:$B$4,"&lt;="&amp;'원본_RankAiEncounter'!K146,'원본_CardLimitBreak'!$C$2:$C$4)</x:f>
        <x:v>18</x:v>
      </x:c>
      <x:c r="L151" t="n">
        <x:f>VLOOKUP(F151,'카드성장'!$A$7:$G$46,'원본_RankAiEncounter'!F146+2,FALSE)+SUMIF('원본_CardLimitBreak'!$B$2:$B$4,"&lt;="&amp;'원본_RankAiEncounter'!L146,'원본_CardLimitBreak'!$C$2:$C$4)</x:f>
        <x:v>14</x:v>
      </x:c>
      <x:c r="M151" t="n">
        <x:f>VLOOKUP(G151,'카드성장'!$A$7:$G$46,'원본_RankAiEncounter'!G146+2,FALSE)+SUMIF('원본_CardLimitBreak'!$B$2:$B$4,"&lt;="&amp;'원본_RankAiEncounter'!M146,'원본_CardLimitBreak'!$C$2:$C$4)</x:f>
        <x:v>18</x:v>
      </x:c>
      <x:c r="N151" t="n">
        <x:f>VLOOKUP(H151,'카드성장'!$A$7:$G$46,'원본_RankAiEncounter'!H146+2,FALSE)+SUMIF('원본_CardLimitBreak'!$B$2:$B$4,"&lt;="&amp;'원본_RankAiEncounter'!N146,'원본_CardLimitBreak'!$C$2:$C$4)</x:f>
        <x:v>10</x:v>
      </x:c>
      <x:c r="O151" t="n">
        <x:f>VLOOKUP(I151,'카드성장'!$A$7:$G$46,'원본_RankAiEncounter'!I146+2,FALSE)+SUMIF('원본_CardLimitBreak'!$B$2:$B$4,"&lt;="&amp;'원본_RankAiEncounter'!O146,'원본_CardLimitBreak'!$C$2:$C$4)</x:f>
        <x:v>17</x:v>
      </x:c>
      <x:c r="P151" t="n">
        <x:f>VLOOKUP(J151,'카드성장'!$A$7:$G$46,'원본_RankAiEncounter'!J146+2,FALSE)+SUMIF('원본_CardLimitBreak'!$B$2:$B$4,"&lt;="&amp;'원본_RankAiEncounter'!P146,'원본_CardLimitBreak'!$C$2:$C$4)</x:f>
        <x:v>17</x:v>
      </x:c>
      <x:c r="Q151" t="n">
        <x:f>SUM(K151:P151)</x:f>
        <x:v>94</x:v>
      </x:c>
    </x:row>
    <x:row r="152">
      <x:c r="A152" t="n">
        <x:f>'원본_RankAiEncounter'!B147</x:f>
        <x:v>11</x:v>
      </x:c>
      <x:c r="B152" t="str">
        <x:f>'원본_RankAiEncounter'!C147</x:f>
        <x:v>GradeFinal</x:v>
      </x:c>
      <x:c r="C152" t="str">
        <x:f>'원본_RankAiEncounter'!D147</x:f>
        <x:v>deck_02</x:v>
      </x:c>
      <x:c r="D152" t="n">
        <x:f>MAX(1,VLOOKUP(C152,'원본_AIDeck'!$B$2:$N$47,5,FALSE))</x:f>
        <x:v>1</x:v>
      </x:c>
      <x:c r="E152" t="n">
        <x:f>VLOOKUP(C152,'원본_AIDeck'!$B$2:$N$47,8,FALSE)</x:f>
        <x:v>20</x:v>
      </x:c>
      <x:c r="F152" t="n">
        <x:f>VLOOKUP(C152,'원본_AIDeck'!$B$2:$N$47,9,FALSE)</x:f>
        <x:v>18</x:v>
      </x:c>
      <x:c r="G152" t="n">
        <x:f>VLOOKUP(C152,'원본_AIDeck'!$B$2:$N$47,10,FALSE)</x:f>
        <x:v>19</x:v>
      </x:c>
      <x:c r="H152" t="n">
        <x:f>VLOOKUP(C152,'원본_AIDeck'!$B$2:$N$47,11,FALSE)</x:f>
        <x:v>4</x:v>
      </x:c>
      <x:c r="I152" t="n">
        <x:f>VLOOKUP(C152,'원본_AIDeck'!$B$2:$N$47,12,FALSE)</x:f>
        <x:v>37</x:v>
      </x:c>
      <x:c r="J152" t="n">
        <x:f>VLOOKUP(C152,'원본_AIDeck'!$B$2:$N$47,13,FALSE)</x:f>
        <x:v>31</x:v>
      </x:c>
      <x:c r="K152" t="n">
        <x:f>VLOOKUP(E152,'카드성장'!$A$7:$G$46,'원본_RankAiEncounter'!E147+2,FALSE)+SUMIF('원본_CardLimitBreak'!$B$2:$B$4,"&lt;="&amp;'원본_RankAiEncounter'!K147,'원본_CardLimitBreak'!$C$2:$C$4)</x:f>
        <x:v>18</x:v>
      </x:c>
      <x:c r="L152" t="n">
        <x:f>VLOOKUP(F152,'카드성장'!$A$7:$G$46,'원본_RankAiEncounter'!F147+2,FALSE)+SUMIF('원본_CardLimitBreak'!$B$2:$B$4,"&lt;="&amp;'원본_RankAiEncounter'!L147,'원본_CardLimitBreak'!$C$2:$C$4)</x:f>
        <x:v>14</x:v>
      </x:c>
      <x:c r="M152" t="n">
        <x:f>VLOOKUP(G152,'카드성장'!$A$7:$G$46,'원본_RankAiEncounter'!G147+2,FALSE)+SUMIF('원본_CardLimitBreak'!$B$2:$B$4,"&lt;="&amp;'원본_RankAiEncounter'!M147,'원본_CardLimitBreak'!$C$2:$C$4)</x:f>
        <x:v>18</x:v>
      </x:c>
      <x:c r="N152" t="n">
        <x:f>VLOOKUP(H152,'카드성장'!$A$7:$G$46,'원본_RankAiEncounter'!H147+2,FALSE)+SUMIF('원본_CardLimitBreak'!$B$2:$B$4,"&lt;="&amp;'원본_RankAiEncounter'!N147,'원본_CardLimitBreak'!$C$2:$C$4)</x:f>
        <x:v>9</x:v>
      </x:c>
      <x:c r="O152" t="n">
        <x:f>VLOOKUP(I152,'카드성장'!$A$7:$G$46,'원본_RankAiEncounter'!I147+2,FALSE)+SUMIF('원본_CardLimitBreak'!$B$2:$B$4,"&lt;="&amp;'원본_RankAiEncounter'!O147,'원본_CardLimitBreak'!$C$2:$C$4)</x:f>
        <x:v>17</x:v>
      </x:c>
      <x:c r="P152" t="n">
        <x:f>VLOOKUP(J152,'카드성장'!$A$7:$G$46,'원본_RankAiEncounter'!J147+2,FALSE)+SUMIF('원본_CardLimitBreak'!$B$2:$B$4,"&lt;="&amp;'원본_RankAiEncounter'!P147,'원본_CardLimitBreak'!$C$2:$C$4)</x:f>
        <x:v>18</x:v>
      </x:c>
      <x:c r="Q152" t="n">
        <x:f>SUM(K152:P152)</x:f>
        <x:v>94</x:v>
      </x:c>
    </x:row>
    <x:row r="153">
      <x:c r="A153" t="n">
        <x:f>'원본_RankAiEncounter'!B148</x:f>
        <x:v>11</x:v>
      </x:c>
      <x:c r="B153" t="str">
        <x:f>'원본_RankAiEncounter'!C148</x:f>
        <x:v>GradeFinal</x:v>
      </x:c>
      <x:c r="C153" t="str">
        <x:f>'원본_RankAiEncounter'!D148</x:f>
        <x:v>deck_03</x:v>
      </x:c>
      <x:c r="D153" t="n">
        <x:f>MAX(1,VLOOKUP(C153,'원본_AIDeck'!$B$2:$N$47,5,FALSE))</x:f>
        <x:v>1</x:v>
      </x:c>
      <x:c r="E153" t="n">
        <x:f>VLOOKUP(C153,'원본_AIDeck'!$B$2:$N$47,8,FALSE)</x:f>
        <x:v>4</x:v>
      </x:c>
      <x:c r="F153" t="n">
        <x:f>VLOOKUP(C153,'원본_AIDeck'!$B$2:$N$47,9,FALSE)</x:f>
        <x:v>2</x:v>
      </x:c>
      <x:c r="G153" t="n">
        <x:f>VLOOKUP(C153,'원본_AIDeck'!$B$2:$N$47,10,FALSE)</x:f>
        <x:v>1</x:v>
      </x:c>
      <x:c r="H153" t="n">
        <x:f>VLOOKUP(C153,'원본_AIDeck'!$B$2:$N$47,11,FALSE)</x:f>
        <x:v>6</x:v>
      </x:c>
      <x:c r="I153" t="n">
        <x:f>VLOOKUP(C153,'원본_AIDeck'!$B$2:$N$47,12,FALSE)</x:f>
        <x:v>28</x:v>
      </x:c>
      <x:c r="J153" t="n">
        <x:f>VLOOKUP(C153,'원본_AIDeck'!$B$2:$N$47,13,FALSE)</x:f>
        <x:v>12</x:v>
      </x:c>
      <x:c r="K153" t="n">
        <x:f>VLOOKUP(E153,'카드성장'!$A$7:$G$46,'원본_RankAiEncounter'!E148+2,FALSE)+SUMIF('원본_CardLimitBreak'!$B$2:$B$4,"&lt;="&amp;'원본_RankAiEncounter'!K148,'원본_CardLimitBreak'!$C$2:$C$4)</x:f>
        <x:v>18</x:v>
      </x:c>
      <x:c r="L153" t="n">
        <x:f>VLOOKUP(F153,'카드성장'!$A$7:$G$46,'원본_RankAiEncounter'!F148+2,FALSE)+SUMIF('원본_CardLimitBreak'!$B$2:$B$4,"&lt;="&amp;'원본_RankAiEncounter'!L148,'원본_CardLimitBreak'!$C$2:$C$4)</x:f>
        <x:v>14</x:v>
      </x:c>
      <x:c r="M153" t="n">
        <x:f>VLOOKUP(G153,'카드성장'!$A$7:$G$46,'원본_RankAiEncounter'!G148+2,FALSE)+SUMIF('원본_CardLimitBreak'!$B$2:$B$4,"&lt;="&amp;'원본_RankAiEncounter'!M148,'원본_CardLimitBreak'!$C$2:$C$4)</x:f>
        <x:v>14</x:v>
      </x:c>
      <x:c r="N153" t="n">
        <x:f>VLOOKUP(H153,'카드성장'!$A$7:$G$46,'원본_RankAiEncounter'!H148+2,FALSE)+SUMIF('원본_CardLimitBreak'!$B$2:$B$4,"&lt;="&amp;'원본_RankAiEncounter'!N148,'원본_CardLimitBreak'!$C$2:$C$4)</x:f>
        <x:v>10</x:v>
      </x:c>
      <x:c r="O153" t="n">
        <x:f>VLOOKUP(I153,'카드성장'!$A$7:$G$46,'원본_RankAiEncounter'!I148+2,FALSE)+SUMIF('원본_CardLimitBreak'!$B$2:$B$4,"&lt;="&amp;'원본_RankAiEncounter'!O148,'원본_CardLimitBreak'!$C$2:$C$4)</x:f>
        <x:v>20</x:v>
      </x:c>
      <x:c r="P153" t="n">
        <x:f>VLOOKUP(J153,'카드성장'!$A$7:$G$46,'원본_RankAiEncounter'!J148+2,FALSE)+SUMIF('원본_CardLimitBreak'!$B$2:$B$4,"&lt;="&amp;'원본_RankAiEncounter'!P148,'원본_CardLimitBreak'!$C$2:$C$4)</x:f>
        <x:v>20</x:v>
      </x:c>
      <x:c r="Q153" t="n">
        <x:f>SUM(K153:P153)</x:f>
        <x:v>96</x:v>
      </x:c>
    </x:row>
    <x:row r="154">
      <x:c r="A154" t="n">
        <x:f>'원본_RankAiEncounter'!B149</x:f>
        <x:v>11</x:v>
      </x:c>
      <x:c r="B154" t="str">
        <x:f>'원본_RankAiEncounter'!C149</x:f>
        <x:v>GradeFinal</x:v>
      </x:c>
      <x:c r="C154" t="str">
        <x:f>'원본_RankAiEncounter'!D149</x:f>
        <x:v>deck_04</x:v>
      </x:c>
      <x:c r="D154" t="n">
        <x:f>MAX(1,VLOOKUP(C154,'원본_AIDeck'!$B$2:$N$47,5,FALSE))</x:f>
        <x:v>1</x:v>
      </x:c>
      <x:c r="E154" t="n">
        <x:f>VLOOKUP(C154,'원본_AIDeck'!$B$2:$N$47,8,FALSE)</x:f>
        <x:v>4</x:v>
      </x:c>
      <x:c r="F154" t="n">
        <x:f>VLOOKUP(C154,'원본_AIDeck'!$B$2:$N$47,9,FALSE)</x:f>
        <x:v>2</x:v>
      </x:c>
      <x:c r="G154" t="n">
        <x:f>VLOOKUP(C154,'원본_AIDeck'!$B$2:$N$47,10,FALSE)</x:f>
        <x:v>32</x:v>
      </x:c>
      <x:c r="H154" t="n">
        <x:f>VLOOKUP(C154,'원본_AIDeck'!$B$2:$N$47,11,FALSE)</x:f>
        <x:v>27</x:v>
      </x:c>
      <x:c r="I154" t="n">
        <x:f>VLOOKUP(C154,'원본_AIDeck'!$B$2:$N$47,12,FALSE)</x:f>
        <x:v>6</x:v>
      </x:c>
      <x:c r="J154" t="n">
        <x:f>VLOOKUP(C154,'원본_AIDeck'!$B$2:$N$47,13,FALSE)</x:f>
        <x:v>38</x:v>
      </x:c>
      <x:c r="K154" t="n">
        <x:f>VLOOKUP(E154,'카드성장'!$A$7:$G$46,'원본_RankAiEncounter'!E149+2,FALSE)+SUMIF('원본_CardLimitBreak'!$B$2:$B$4,"&lt;="&amp;'원본_RankAiEncounter'!K149,'원본_CardLimitBreak'!$C$2:$C$4)</x:f>
        <x:v>18</x:v>
      </x:c>
      <x:c r="L154" t="n">
        <x:f>VLOOKUP(F154,'카드성장'!$A$7:$G$46,'원본_RankAiEncounter'!F149+2,FALSE)+SUMIF('원본_CardLimitBreak'!$B$2:$B$4,"&lt;="&amp;'원본_RankAiEncounter'!L149,'원본_CardLimitBreak'!$C$2:$C$4)</x:f>
        <x:v>14</x:v>
      </x:c>
      <x:c r="M154" t="n">
        <x:f>VLOOKUP(G154,'카드성장'!$A$7:$G$46,'원본_RankAiEncounter'!G149+2,FALSE)+SUMIF('원본_CardLimitBreak'!$B$2:$B$4,"&lt;="&amp;'원본_RankAiEncounter'!M149,'원본_CardLimitBreak'!$C$2:$C$4)</x:f>
        <x:v>17</x:v>
      </x:c>
      <x:c r="N154" t="n">
        <x:f>VLOOKUP(H154,'카드성장'!$A$7:$G$46,'원본_RankAiEncounter'!H149+2,FALSE)+SUMIF('원본_CardLimitBreak'!$B$2:$B$4,"&lt;="&amp;'원본_RankAiEncounter'!N149,'원본_CardLimitBreak'!$C$2:$C$4)</x:f>
        <x:v>7</x:v>
      </x:c>
      <x:c r="O154" t="n">
        <x:f>VLOOKUP(I154,'카드성장'!$A$7:$G$46,'원본_RankAiEncounter'!I149+2,FALSE)+SUMIF('원본_CardLimitBreak'!$B$2:$B$4,"&lt;="&amp;'원본_RankAiEncounter'!O149,'원본_CardLimitBreak'!$C$2:$C$4)</x:f>
        <x:v>20</x:v>
      </x:c>
      <x:c r="P154" t="n">
        <x:f>VLOOKUP(J154,'카드성장'!$A$7:$G$46,'원본_RankAiEncounter'!J149+2,FALSE)+SUMIF('원본_CardLimitBreak'!$B$2:$B$4,"&lt;="&amp;'원본_RankAiEncounter'!P149,'원본_CardLimitBreak'!$C$2:$C$4)</x:f>
        <x:v>20</x:v>
      </x:c>
      <x:c r="Q154" t="n">
        <x:f>SUM(K154:P154)</x:f>
        <x:v>96</x:v>
      </x:c>
    </x:row>
    <x:row r="155">
      <x:c r="A155" t="n">
        <x:f>'원본_RankAiEncounter'!B150</x:f>
        <x:v>11</x:v>
      </x:c>
      <x:c r="B155" t="str">
        <x:f>'원본_RankAiEncounter'!C150</x:f>
        <x:v>GradeFinal</x:v>
      </x:c>
      <x:c r="C155" t="str">
        <x:f>'원본_RankAiEncounter'!D150</x:f>
        <x:v>deck_05</x:v>
      </x:c>
      <x:c r="D155" t="n">
        <x:f>MAX(1,VLOOKUP(C155,'원본_AIDeck'!$B$2:$N$47,5,FALSE))</x:f>
        <x:v>1</x:v>
      </x:c>
      <x:c r="E155" t="n">
        <x:f>VLOOKUP(C155,'원본_AIDeck'!$B$2:$N$47,8,FALSE)</x:f>
        <x:v>15</x:v>
      </x:c>
      <x:c r="F155" t="n">
        <x:f>VLOOKUP(C155,'원본_AIDeck'!$B$2:$N$47,9,FALSE)</x:f>
        <x:v>16</x:v>
      </x:c>
      <x:c r="G155" t="n">
        <x:f>VLOOKUP(C155,'원본_AIDeck'!$B$2:$N$47,10,FALSE)</x:f>
        <x:v>25</x:v>
      </x:c>
      <x:c r="H155" t="n">
        <x:f>VLOOKUP(C155,'원본_AIDeck'!$B$2:$N$47,11,FALSE)</x:f>
        <x:v>20</x:v>
      </x:c>
      <x:c r="I155" t="n">
        <x:f>VLOOKUP(C155,'원본_AIDeck'!$B$2:$N$47,12,FALSE)</x:f>
        <x:v>29</x:v>
      </x:c>
      <x:c r="J155" t="n">
        <x:f>VLOOKUP(C155,'원본_AIDeck'!$B$2:$N$47,13,FALSE)</x:f>
        <x:v>37</x:v>
      </x:c>
      <x:c r="K155" t="n">
        <x:f>VLOOKUP(E155,'카드성장'!$A$7:$G$46,'원본_RankAiEncounter'!E150+2,FALSE)+SUMIF('원본_CardLimitBreak'!$B$2:$B$4,"&lt;="&amp;'원본_RankAiEncounter'!K150,'원본_CardLimitBreak'!$C$2:$C$4)</x:f>
        <x:v>15</x:v>
      </x:c>
      <x:c r="L155" t="n">
        <x:f>VLOOKUP(F155,'카드성장'!$A$7:$G$46,'원본_RankAiEncounter'!F150+2,FALSE)+SUMIF('원본_CardLimitBreak'!$B$2:$B$4,"&lt;="&amp;'원본_RankAiEncounter'!L150,'원본_CardLimitBreak'!$C$2:$C$4)</x:f>
        <x:v>14</x:v>
      </x:c>
      <x:c r="M155" t="n">
        <x:f>VLOOKUP(G155,'카드성장'!$A$7:$G$46,'원본_RankAiEncounter'!G150+2,FALSE)+SUMIF('원본_CardLimitBreak'!$B$2:$B$4,"&lt;="&amp;'원본_RankAiEncounter'!M150,'원본_CardLimitBreak'!$C$2:$C$4)</x:f>
        <x:v>19</x:v>
      </x:c>
      <x:c r="N155" t="n">
        <x:f>VLOOKUP(H155,'카드성장'!$A$7:$G$46,'원본_RankAiEncounter'!H150+2,FALSE)+SUMIF('원본_CardLimitBreak'!$B$2:$B$4,"&lt;="&amp;'원본_RankAiEncounter'!N150,'원본_CardLimitBreak'!$C$2:$C$4)</x:f>
        <x:v>8</x:v>
      </x:c>
      <x:c r="O155" t="n">
        <x:f>VLOOKUP(I155,'카드성장'!$A$7:$G$46,'원본_RankAiEncounter'!I150+2,FALSE)+SUMIF('원본_CardLimitBreak'!$B$2:$B$4,"&lt;="&amp;'원본_RankAiEncounter'!O150,'원본_CardLimitBreak'!$C$2:$C$4)</x:f>
        <x:v>16</x:v>
      </x:c>
      <x:c r="P155" t="n">
        <x:f>VLOOKUP(J155,'카드성장'!$A$7:$G$46,'원본_RankAiEncounter'!J150+2,FALSE)+SUMIF('원본_CardLimitBreak'!$B$2:$B$4,"&lt;="&amp;'원본_RankAiEncounter'!P150,'원본_CardLimitBreak'!$C$2:$C$4)</x:f>
        <x:v>17</x:v>
      </x:c>
      <x:c r="Q155" t="n">
        <x:f>SUM(K155:P155)</x:f>
        <x:v>89</x:v>
      </x:c>
    </x:row>
    <x:row r="156">
      <x:c r="A156" t="n">
        <x:f>'원본_RankAiEncounter'!B151</x:f>
        <x:v>11</x:v>
      </x:c>
      <x:c r="B156" t="str">
        <x:f>'원본_RankAiEncounter'!C151</x:f>
        <x:v>GradeFinal</x:v>
      </x:c>
      <x:c r="C156" t="str">
        <x:f>'원본_RankAiEncounter'!D151</x:f>
        <x:v>deck_06</x:v>
      </x:c>
      <x:c r="D156" t="n">
        <x:f>MAX(1,VLOOKUP(C156,'원본_AIDeck'!$B$2:$N$47,5,FALSE))</x:f>
        <x:v>1</x:v>
      </x:c>
      <x:c r="E156" t="n">
        <x:f>VLOOKUP(C156,'원본_AIDeck'!$B$2:$N$47,8,FALSE)</x:f>
        <x:v>15</x:v>
      </x:c>
      <x:c r="F156" t="n">
        <x:f>VLOOKUP(C156,'원본_AIDeck'!$B$2:$N$47,9,FALSE)</x:f>
        <x:v>16</x:v>
      </x:c>
      <x:c r="G156" t="n">
        <x:f>VLOOKUP(C156,'원본_AIDeck'!$B$2:$N$47,10,FALSE)</x:f>
        <x:v>25</x:v>
      </x:c>
      <x:c r="H156" t="n">
        <x:f>VLOOKUP(C156,'원본_AIDeck'!$B$2:$N$47,11,FALSE)</x:f>
        <x:v>20</x:v>
      </x:c>
      <x:c r="I156" t="n">
        <x:f>VLOOKUP(C156,'원본_AIDeck'!$B$2:$N$47,12,FALSE)</x:f>
        <x:v>6</x:v>
      </x:c>
      <x:c r="J156" t="n">
        <x:f>VLOOKUP(C156,'원본_AIDeck'!$B$2:$N$47,13,FALSE)</x:f>
        <x:v>38</x:v>
      </x:c>
      <x:c r="K156" t="n">
        <x:f>VLOOKUP(E156,'카드성장'!$A$7:$G$46,'원본_RankAiEncounter'!E151+2,FALSE)+SUMIF('원본_CardLimitBreak'!$B$2:$B$4,"&lt;="&amp;'원본_RankAiEncounter'!K151,'원본_CardLimitBreak'!$C$2:$C$4)</x:f>
        <x:v>15</x:v>
      </x:c>
      <x:c r="L156" t="n">
        <x:f>VLOOKUP(F156,'카드성장'!$A$7:$G$46,'원본_RankAiEncounter'!F151+2,FALSE)+SUMIF('원본_CardLimitBreak'!$B$2:$B$4,"&lt;="&amp;'원본_RankAiEncounter'!L151,'원본_CardLimitBreak'!$C$2:$C$4)</x:f>
        <x:v>14</x:v>
      </x:c>
      <x:c r="M156" t="n">
        <x:f>VLOOKUP(G156,'카드성장'!$A$7:$G$46,'원본_RankAiEncounter'!G151+2,FALSE)+SUMIF('원본_CardLimitBreak'!$B$2:$B$4,"&lt;="&amp;'원본_RankAiEncounter'!M151,'원본_CardLimitBreak'!$C$2:$C$4)</x:f>
        <x:v>19</x:v>
      </x:c>
      <x:c r="N156" t="n">
        <x:f>VLOOKUP(H156,'카드성장'!$A$7:$G$46,'원본_RankAiEncounter'!H151+2,FALSE)+SUMIF('원본_CardLimitBreak'!$B$2:$B$4,"&lt;="&amp;'원본_RankAiEncounter'!N151,'원본_CardLimitBreak'!$C$2:$C$4)</x:f>
        <x:v>8</x:v>
      </x:c>
      <x:c r="O156" t="n">
        <x:f>VLOOKUP(I156,'카드성장'!$A$7:$G$46,'원본_RankAiEncounter'!I151+2,FALSE)+SUMIF('원본_CardLimitBreak'!$B$2:$B$4,"&lt;="&amp;'원본_RankAiEncounter'!O151,'원본_CardLimitBreak'!$C$2:$C$4)</x:f>
        <x:v>20</x:v>
      </x:c>
      <x:c r="P156" t="n">
        <x:f>VLOOKUP(J156,'카드성장'!$A$7:$G$46,'원본_RankAiEncounter'!J151+2,FALSE)+SUMIF('원본_CardLimitBreak'!$B$2:$B$4,"&lt;="&amp;'원본_RankAiEncounter'!P151,'원본_CardLimitBreak'!$C$2:$C$4)</x:f>
        <x:v>18</x:v>
      </x:c>
      <x:c r="Q156" t="n">
        <x:f>SUM(K156:P156)</x:f>
        <x:v>94</x:v>
      </x:c>
    </x:row>
    <x:row r="157">
      <x:c r="A157" t="n">
        <x:f>'원본_RankAiEncounter'!B152</x:f>
        <x:v>11</x:v>
      </x:c>
      <x:c r="B157" t="str">
        <x:f>'원본_RankAiEncounter'!C152</x:f>
        <x:v>GradeFinal</x:v>
      </x:c>
      <x:c r="C157" t="str">
        <x:f>'원본_RankAiEncounter'!D152</x:f>
        <x:v>deck_07</x:v>
      </x:c>
      <x:c r="D157" t="n">
        <x:f>MAX(1,VLOOKUP(C157,'원본_AIDeck'!$B$2:$N$47,5,FALSE))</x:f>
        <x:v>1</x:v>
      </x:c>
      <x:c r="E157" t="n">
        <x:f>VLOOKUP(C157,'원본_AIDeck'!$B$2:$N$47,8,FALSE)</x:f>
        <x:v>8</x:v>
      </x:c>
      <x:c r="F157" t="n">
        <x:f>VLOOKUP(C157,'원본_AIDeck'!$B$2:$N$47,9,FALSE)</x:f>
        <x:v>9</x:v>
      </x:c>
      <x:c r="G157" t="n">
        <x:f>VLOOKUP(C157,'원본_AIDeck'!$B$2:$N$47,10,FALSE)</x:f>
        <x:v>10</x:v>
      </x:c>
      <x:c r="H157" t="n">
        <x:f>VLOOKUP(C157,'원본_AIDeck'!$B$2:$N$47,11,FALSE)</x:f>
        <x:v>20</x:v>
      </x:c>
      <x:c r="I157" t="n">
        <x:f>VLOOKUP(C157,'원본_AIDeck'!$B$2:$N$47,12,FALSE)</x:f>
        <x:v>6</x:v>
      </x:c>
      <x:c r="J157" t="n">
        <x:f>VLOOKUP(C157,'원본_AIDeck'!$B$2:$N$47,13,FALSE)</x:f>
        <x:v>27</x:v>
      </x:c>
      <x:c r="K157" t="n">
        <x:f>VLOOKUP(E157,'카드성장'!$A$7:$G$46,'원본_RankAiEncounter'!E152+2,FALSE)+SUMIF('원본_CardLimitBreak'!$B$2:$B$4,"&lt;="&amp;'원본_RankAiEncounter'!K152,'원본_CardLimitBreak'!$C$2:$C$4)</x:f>
        <x:v>18</x:v>
      </x:c>
      <x:c r="L157" t="n">
        <x:f>VLOOKUP(F157,'카드성장'!$A$7:$G$46,'원본_RankAiEncounter'!F152+2,FALSE)+SUMIF('원본_CardLimitBreak'!$B$2:$B$4,"&lt;="&amp;'원본_RankAiEncounter'!L152,'원본_CardLimitBreak'!$C$2:$C$4)</x:f>
        <x:v>14</x:v>
      </x:c>
      <x:c r="M157" t="n">
        <x:f>VLOOKUP(G157,'카드성장'!$A$7:$G$46,'원본_RankAiEncounter'!G152+2,FALSE)+SUMIF('원본_CardLimitBreak'!$B$2:$B$4,"&lt;="&amp;'원본_RankAiEncounter'!M152,'원본_CardLimitBreak'!$C$2:$C$4)</x:f>
        <x:v>19</x:v>
      </x:c>
      <x:c r="N157" t="n">
        <x:f>VLOOKUP(H157,'카드성장'!$A$7:$G$46,'원본_RankAiEncounter'!H152+2,FALSE)+SUMIF('원본_CardLimitBreak'!$B$2:$B$4,"&lt;="&amp;'원본_RankAiEncounter'!N152,'원본_CardLimitBreak'!$C$2:$C$4)</x:f>
        <x:v>18</x:v>
      </x:c>
      <x:c r="O157" t="n">
        <x:f>VLOOKUP(I157,'카드성장'!$A$7:$G$46,'원본_RankAiEncounter'!I152+2,FALSE)+SUMIF('원본_CardLimitBreak'!$B$2:$B$4,"&lt;="&amp;'원본_RankAiEncounter'!O152,'원본_CardLimitBreak'!$C$2:$C$4)</x:f>
        <x:v>10</x:v>
      </x:c>
      <x:c r="P157" t="n">
        <x:f>VLOOKUP(J157,'카드성장'!$A$7:$G$46,'원본_RankAiEncounter'!J152+2,FALSE)+SUMIF('원본_CardLimitBreak'!$B$2:$B$4,"&lt;="&amp;'원본_RankAiEncounter'!P152,'원본_CardLimitBreak'!$C$2:$C$4)</x:f>
        <x:v>15</x:v>
      </x:c>
      <x:c r="Q157" t="n">
        <x:f>SUM(K157:P157)</x:f>
        <x:v>94</x:v>
      </x:c>
    </x:row>
    <x:row r="158">
      <x:c r="A158" t="n">
        <x:f>'원본_RankAiEncounter'!B153</x:f>
        <x:v>11</x:v>
      </x:c>
      <x:c r="B158" t="str">
        <x:f>'원본_RankAiEncounter'!C153</x:f>
        <x:v>GradeFinal</x:v>
      </x:c>
      <x:c r="C158" t="str">
        <x:f>'원본_RankAiEncounter'!D153</x:f>
        <x:v>deck_08</x:v>
      </x:c>
      <x:c r="D158" t="n">
        <x:f>MAX(1,VLOOKUP(C158,'원본_AIDeck'!$B$2:$N$47,5,FALSE))</x:f>
        <x:v>1</x:v>
      </x:c>
      <x:c r="E158" t="n">
        <x:f>VLOOKUP(C158,'원본_AIDeck'!$B$2:$N$47,8,FALSE)</x:f>
        <x:v>5</x:v>
      </x:c>
      <x:c r="F158" t="n">
        <x:f>VLOOKUP(C158,'원본_AIDeck'!$B$2:$N$47,9,FALSE)</x:f>
        <x:v>6</x:v>
      </x:c>
      <x:c r="G158" t="n">
        <x:f>VLOOKUP(C158,'원본_AIDeck'!$B$2:$N$47,10,FALSE)</x:f>
        <x:v>33</x:v>
      </x:c>
      <x:c r="H158" t="n">
        <x:f>VLOOKUP(C158,'원본_AIDeck'!$B$2:$N$47,11,FALSE)</x:f>
        <x:v>28</x:v>
      </x:c>
      <x:c r="I158" t="n">
        <x:f>VLOOKUP(C158,'원본_AIDeck'!$B$2:$N$47,12,FALSE)</x:f>
        <x:v>12</x:v>
      </x:c>
      <x:c r="J158" t="n">
        <x:f>VLOOKUP(C158,'원본_AIDeck'!$B$2:$N$47,13,FALSE)</x:f>
        <x:v>10</x:v>
      </x:c>
      <x:c r="K158" t="n">
        <x:f>VLOOKUP(E158,'카드성장'!$A$7:$G$46,'원본_RankAiEncounter'!E153+2,FALSE)+SUMIF('원본_CardLimitBreak'!$B$2:$B$4,"&lt;="&amp;'원본_RankAiEncounter'!K153,'원본_CardLimitBreak'!$C$2:$C$4)</x:f>
        <x:v>20</x:v>
      </x:c>
      <x:c r="L158" t="n">
        <x:f>VLOOKUP(F158,'카드성장'!$A$7:$G$46,'원본_RankAiEncounter'!F153+2,FALSE)+SUMIF('원본_CardLimitBreak'!$B$2:$B$4,"&lt;="&amp;'원본_RankAiEncounter'!L153,'원본_CardLimitBreak'!$C$2:$C$4)</x:f>
        <x:v>10</x:v>
      </x:c>
      <x:c r="M158" t="n">
        <x:f>VLOOKUP(G158,'카드성장'!$A$7:$G$46,'원본_RankAiEncounter'!G153+2,FALSE)+SUMIF('원본_CardLimitBreak'!$B$2:$B$4,"&lt;="&amp;'원본_RankAiEncounter'!M153,'원본_CardLimitBreak'!$C$2:$C$4)</x:f>
        <x:v>16</x:v>
      </x:c>
      <x:c r="N158" t="n">
        <x:f>VLOOKUP(H158,'카드성장'!$A$7:$G$46,'원본_RankAiEncounter'!H153+2,FALSE)+SUMIF('원본_CardLimitBreak'!$B$2:$B$4,"&lt;="&amp;'원본_RankAiEncounter'!N153,'원본_CardLimitBreak'!$C$2:$C$4)</x:f>
        <x:v>20</x:v>
      </x:c>
      <x:c r="O158" t="n">
        <x:f>VLOOKUP(I158,'카드성장'!$A$7:$G$46,'원본_RankAiEncounter'!I153+2,FALSE)+SUMIF('원본_CardLimitBreak'!$B$2:$B$4,"&lt;="&amp;'원본_RankAiEncounter'!O153,'원본_CardLimitBreak'!$C$2:$C$4)</x:f>
        <x:v>20</x:v>
      </x:c>
      <x:c r="P158" t="n">
        <x:f>VLOOKUP(J158,'카드성장'!$A$7:$G$46,'원본_RankAiEncounter'!J153+2,FALSE)+SUMIF('원본_CardLimitBreak'!$B$2:$B$4,"&lt;="&amp;'원본_RankAiEncounter'!P153,'원본_CardLimitBreak'!$C$2:$C$4)</x:f>
        <x:v>17</x:v>
      </x:c>
      <x:c r="Q158" t="n">
        <x:f>SUM(K158:P158)</x:f>
        <x:v>103</x:v>
      </x:c>
    </x:row>
    <x:row r="159">
      <x:c r="A159" t="n">
        <x:f>'원본_RankAiEncounter'!B154</x:f>
        <x:v>15</x:v>
      </x:c>
      <x:c r="B159" t="str">
        <x:f>'원본_RankAiEncounter'!C154</x:f>
        <x:v>GradeFinal</x:v>
      </x:c>
      <x:c r="C159" t="str">
        <x:f>'원본_RankAiEncounter'!D154</x:f>
        <x:v>deck_01</x:v>
      </x:c>
      <x:c r="D159" t="n">
        <x:f>MAX(1,VLOOKUP(C159,'원본_AIDeck'!$B$2:$N$47,5,FALSE))</x:f>
        <x:v>1</x:v>
      </x:c>
      <x:c r="E159" t="n">
        <x:f>VLOOKUP(C159,'원본_AIDeck'!$B$2:$N$47,8,FALSE)</x:f>
        <x:v>20</x:v>
      </x:c>
      <x:c r="F159" t="n">
        <x:f>VLOOKUP(C159,'원본_AIDeck'!$B$2:$N$47,9,FALSE)</x:f>
        <x:v>18</x:v>
      </x:c>
      <x:c r="G159" t="n">
        <x:f>VLOOKUP(C159,'원본_AIDeck'!$B$2:$N$47,10,FALSE)</x:f>
        <x:v>19</x:v>
      </x:c>
      <x:c r="H159" t="n">
        <x:f>VLOOKUP(C159,'원본_AIDeck'!$B$2:$N$47,11,FALSE)</x:f>
        <x:v>6</x:v>
      </x:c>
      <x:c r="I159" t="n">
        <x:f>VLOOKUP(C159,'원본_AIDeck'!$B$2:$N$47,12,FALSE)</x:f>
        <x:v>13</x:v>
      </x:c>
      <x:c r="J159" t="n">
        <x:f>VLOOKUP(C159,'원본_AIDeck'!$B$2:$N$47,13,FALSE)</x:f>
        <x:v>14</x:v>
      </x:c>
      <x:c r="K159" t="n">
        <x:f>VLOOKUP(E159,'카드성장'!$A$7:$G$46,'원본_RankAiEncounter'!E154+2,FALSE)+SUMIF('원본_CardLimitBreak'!$B$2:$B$4,"&lt;="&amp;'원본_RankAiEncounter'!K154,'원본_CardLimitBreak'!$C$2:$C$4)</x:f>
        <x:v>18</x:v>
      </x:c>
      <x:c r="L159" t="n">
        <x:f>VLOOKUP(F159,'카드성장'!$A$7:$G$46,'원본_RankAiEncounter'!F154+2,FALSE)+SUMIF('원본_CardLimitBreak'!$B$2:$B$4,"&lt;="&amp;'원본_RankAiEncounter'!L154,'원본_CardLimitBreak'!$C$2:$C$4)</x:f>
        <x:v>14</x:v>
      </x:c>
      <x:c r="M159" t="n">
        <x:f>VLOOKUP(G159,'카드성장'!$A$7:$G$46,'원본_RankAiEncounter'!G154+2,FALSE)+SUMIF('원본_CardLimitBreak'!$B$2:$B$4,"&lt;="&amp;'원본_RankAiEncounter'!M154,'원본_CardLimitBreak'!$C$2:$C$4)</x:f>
        <x:v>19</x:v>
      </x:c>
      <x:c r="N159" t="n">
        <x:f>VLOOKUP(H159,'카드성장'!$A$7:$G$46,'원본_RankAiEncounter'!H154+2,FALSE)+SUMIF('원본_CardLimitBreak'!$B$2:$B$4,"&lt;="&amp;'원본_RankAiEncounter'!N154,'원본_CardLimitBreak'!$C$2:$C$4)</x:f>
        <x:v>20</x:v>
      </x:c>
      <x:c r="O159" t="n">
        <x:f>VLOOKUP(I159,'카드성장'!$A$7:$G$46,'원본_RankAiEncounter'!I154+2,FALSE)+SUMIF('원본_CardLimitBreak'!$B$2:$B$4,"&lt;="&amp;'원본_RankAiEncounter'!O154,'원본_CardLimitBreak'!$C$2:$C$4)</x:f>
        <x:v>17</x:v>
      </x:c>
      <x:c r="P159" t="n">
        <x:f>VLOOKUP(J159,'카드성장'!$A$7:$G$46,'원본_RankAiEncounter'!J154+2,FALSE)+SUMIF('원본_CardLimitBreak'!$B$2:$B$4,"&lt;="&amp;'원본_RankAiEncounter'!P154,'원본_CardLimitBreak'!$C$2:$C$4)</x:f>
        <x:v>19</x:v>
      </x:c>
      <x:c r="Q159" t="n">
        <x:f>SUM(K159:P159)</x:f>
        <x:v>107</x:v>
      </x:c>
    </x:row>
    <x:row r="160">
      <x:c r="A160" t="n">
        <x:f>'원본_RankAiEncounter'!B155</x:f>
        <x:v>15</x:v>
      </x:c>
      <x:c r="B160" t="str">
        <x:f>'원본_RankAiEncounter'!C155</x:f>
        <x:v>GradeFinal</x:v>
      </x:c>
      <x:c r="C160" t="str">
        <x:f>'원본_RankAiEncounter'!D155</x:f>
        <x:v>deck_02</x:v>
      </x:c>
      <x:c r="D160" t="n">
        <x:f>MAX(1,VLOOKUP(C160,'원본_AIDeck'!$B$2:$N$47,5,FALSE))</x:f>
        <x:v>1</x:v>
      </x:c>
      <x:c r="E160" t="n">
        <x:f>VLOOKUP(C160,'원본_AIDeck'!$B$2:$N$47,8,FALSE)</x:f>
        <x:v>20</x:v>
      </x:c>
      <x:c r="F160" t="n">
        <x:f>VLOOKUP(C160,'원본_AIDeck'!$B$2:$N$47,9,FALSE)</x:f>
        <x:v>18</x:v>
      </x:c>
      <x:c r="G160" t="n">
        <x:f>VLOOKUP(C160,'원본_AIDeck'!$B$2:$N$47,10,FALSE)</x:f>
        <x:v>19</x:v>
      </x:c>
      <x:c r="H160" t="n">
        <x:f>VLOOKUP(C160,'원본_AIDeck'!$B$2:$N$47,11,FALSE)</x:f>
        <x:v>4</x:v>
      </x:c>
      <x:c r="I160" t="n">
        <x:f>VLOOKUP(C160,'원본_AIDeck'!$B$2:$N$47,12,FALSE)</x:f>
        <x:v>37</x:v>
      </x:c>
      <x:c r="J160" t="n">
        <x:f>VLOOKUP(C160,'원본_AIDeck'!$B$2:$N$47,13,FALSE)</x:f>
        <x:v>31</x:v>
      </x:c>
      <x:c r="K160" t="n">
        <x:f>VLOOKUP(E160,'카드성장'!$A$7:$G$46,'원본_RankAiEncounter'!E155+2,FALSE)+SUMIF('원본_CardLimitBreak'!$B$2:$B$4,"&lt;="&amp;'원본_RankAiEncounter'!K155,'원본_CardLimitBreak'!$C$2:$C$4)</x:f>
        <x:v>18</x:v>
      </x:c>
      <x:c r="L160" t="n">
        <x:f>VLOOKUP(F160,'카드성장'!$A$7:$G$46,'원본_RankAiEncounter'!F155+2,FALSE)+SUMIF('원본_CardLimitBreak'!$B$2:$B$4,"&lt;="&amp;'원본_RankAiEncounter'!L155,'원본_CardLimitBreak'!$C$2:$C$4)</x:f>
        <x:v>14</x:v>
      </x:c>
      <x:c r="M160" t="n">
        <x:f>VLOOKUP(G160,'카드성장'!$A$7:$G$46,'원본_RankAiEncounter'!G155+2,FALSE)+SUMIF('원본_CardLimitBreak'!$B$2:$B$4,"&lt;="&amp;'원본_RankAiEncounter'!M155,'원본_CardLimitBreak'!$C$2:$C$4)</x:f>
        <x:v>19</x:v>
      </x:c>
      <x:c r="N160" t="n">
        <x:f>VLOOKUP(H160,'카드성장'!$A$7:$G$46,'원본_RankAiEncounter'!H155+2,FALSE)+SUMIF('원본_CardLimitBreak'!$B$2:$B$4,"&lt;="&amp;'원본_RankAiEncounter'!N155,'원본_CardLimitBreak'!$C$2:$C$4)</x:f>
        <x:v>18</x:v>
      </x:c>
      <x:c r="O160" t="n">
        <x:f>VLOOKUP(I160,'카드성장'!$A$7:$G$46,'원본_RankAiEncounter'!I155+2,FALSE)+SUMIF('원본_CardLimitBreak'!$B$2:$B$4,"&lt;="&amp;'원본_RankAiEncounter'!O155,'원본_CardLimitBreak'!$C$2:$C$4)</x:f>
        <x:v>19</x:v>
      </x:c>
      <x:c r="P160" t="n">
        <x:f>VLOOKUP(J160,'카드성장'!$A$7:$G$46,'원본_RankAiEncounter'!J155+2,FALSE)+SUMIF('원본_CardLimitBreak'!$B$2:$B$4,"&lt;="&amp;'원본_RankAiEncounter'!P155,'원본_CardLimitBreak'!$C$2:$C$4)</x:f>
        <x:v>18</x:v>
      </x:c>
      <x:c r="Q160" t="n">
        <x:f>SUM(K160:P160)</x:f>
        <x:v>106</x:v>
      </x:c>
    </x:row>
    <x:row r="161">
      <x:c r="A161" t="n">
        <x:f>'원본_RankAiEncounter'!B156</x:f>
        <x:v>15</x:v>
      </x:c>
      <x:c r="B161" t="str">
        <x:f>'원본_RankAiEncounter'!C156</x:f>
        <x:v>GradeFinal</x:v>
      </x:c>
      <x:c r="C161" t="str">
        <x:f>'원본_RankAiEncounter'!D156</x:f>
        <x:v>deck_03</x:v>
      </x:c>
      <x:c r="D161" t="n">
        <x:f>MAX(1,VLOOKUP(C161,'원본_AIDeck'!$B$2:$N$47,5,FALSE))</x:f>
        <x:v>1</x:v>
      </x:c>
      <x:c r="E161" t="n">
        <x:f>VLOOKUP(C161,'원본_AIDeck'!$B$2:$N$47,8,FALSE)</x:f>
        <x:v>4</x:v>
      </x:c>
      <x:c r="F161" t="n">
        <x:f>VLOOKUP(C161,'원본_AIDeck'!$B$2:$N$47,9,FALSE)</x:f>
        <x:v>2</x:v>
      </x:c>
      <x:c r="G161" t="n">
        <x:f>VLOOKUP(C161,'원본_AIDeck'!$B$2:$N$47,10,FALSE)</x:f>
        <x:v>1</x:v>
      </x:c>
      <x:c r="H161" t="n">
        <x:f>VLOOKUP(C161,'원본_AIDeck'!$B$2:$N$47,11,FALSE)</x:f>
        <x:v>6</x:v>
      </x:c>
      <x:c r="I161" t="n">
        <x:f>VLOOKUP(C161,'원본_AIDeck'!$B$2:$N$47,12,FALSE)</x:f>
        <x:v>28</x:v>
      </x:c>
      <x:c r="J161" t="n">
        <x:f>VLOOKUP(C161,'원본_AIDeck'!$B$2:$N$47,13,FALSE)</x:f>
        <x:v>12</x:v>
      </x:c>
      <x:c r="K161" t="n">
        <x:f>VLOOKUP(E161,'카드성장'!$A$7:$G$46,'원본_RankAiEncounter'!E156+2,FALSE)+SUMIF('원본_CardLimitBreak'!$B$2:$B$4,"&lt;="&amp;'원본_RankAiEncounter'!K156,'원본_CardLimitBreak'!$C$2:$C$4)</x:f>
        <x:v>18</x:v>
      </x:c>
      <x:c r="L161" t="n">
        <x:f>VLOOKUP(F161,'카드성장'!$A$7:$G$46,'원본_RankAiEncounter'!F156+2,FALSE)+SUMIF('원본_CardLimitBreak'!$B$2:$B$4,"&lt;="&amp;'원본_RankAiEncounter'!L156,'원본_CardLimitBreak'!$C$2:$C$4)</x:f>
        <x:v>16</x:v>
      </x:c>
      <x:c r="M161" t="n">
        <x:f>VLOOKUP(G161,'카드성장'!$A$7:$G$46,'원본_RankAiEncounter'!G156+2,FALSE)+SUMIF('원본_CardLimitBreak'!$B$2:$B$4,"&lt;="&amp;'원본_RankAiEncounter'!M156,'원본_CardLimitBreak'!$C$2:$C$4)</x:f>
        <x:v>14</x:v>
      </x:c>
      <x:c r="N161" t="n">
        <x:f>VLOOKUP(H161,'카드성장'!$A$7:$G$46,'원본_RankAiEncounter'!H156+2,FALSE)+SUMIF('원본_CardLimitBreak'!$B$2:$B$4,"&lt;="&amp;'원본_RankAiEncounter'!N156,'원본_CardLimitBreak'!$C$2:$C$4)</x:f>
        <x:v>20</x:v>
      </x:c>
      <x:c r="O161" t="n">
        <x:f>VLOOKUP(I161,'카드성장'!$A$7:$G$46,'원본_RankAiEncounter'!I156+2,FALSE)+SUMIF('원본_CardLimitBreak'!$B$2:$B$4,"&lt;="&amp;'원본_RankAiEncounter'!O156,'원본_CardLimitBreak'!$C$2:$C$4)</x:f>
        <x:v>20</x:v>
      </x:c>
      <x:c r="P161" t="n">
        <x:f>VLOOKUP(J161,'카드성장'!$A$7:$G$46,'원본_RankAiEncounter'!J156+2,FALSE)+SUMIF('원본_CardLimitBreak'!$B$2:$B$4,"&lt;="&amp;'원본_RankAiEncounter'!P156,'원본_CardLimitBreak'!$C$2:$C$4)</x:f>
        <x:v>21</x:v>
      </x:c>
      <x:c r="Q161" t="n">
        <x:f>SUM(K161:P161)</x:f>
        <x:v>109</x:v>
      </x:c>
    </x:row>
    <x:row r="162">
      <x:c r="A162" t="n">
        <x:f>'원본_RankAiEncounter'!B157</x:f>
        <x:v>15</x:v>
      </x:c>
      <x:c r="B162" t="str">
        <x:f>'원본_RankAiEncounter'!C157</x:f>
        <x:v>GradeFinal</x:v>
      </x:c>
      <x:c r="C162" t="str">
        <x:f>'원본_RankAiEncounter'!D157</x:f>
        <x:v>deck_04</x:v>
      </x:c>
      <x:c r="D162" t="n">
        <x:f>MAX(1,VLOOKUP(C162,'원본_AIDeck'!$B$2:$N$47,5,FALSE))</x:f>
        <x:v>1</x:v>
      </x:c>
      <x:c r="E162" t="n">
        <x:f>VLOOKUP(C162,'원본_AIDeck'!$B$2:$N$47,8,FALSE)</x:f>
        <x:v>4</x:v>
      </x:c>
      <x:c r="F162" t="n">
        <x:f>VLOOKUP(C162,'원본_AIDeck'!$B$2:$N$47,9,FALSE)</x:f>
        <x:v>2</x:v>
      </x:c>
      <x:c r="G162" t="n">
        <x:f>VLOOKUP(C162,'원본_AIDeck'!$B$2:$N$47,10,FALSE)</x:f>
        <x:v>32</x:v>
      </x:c>
      <x:c r="H162" t="n">
        <x:f>VLOOKUP(C162,'원본_AIDeck'!$B$2:$N$47,11,FALSE)</x:f>
        <x:v>27</x:v>
      </x:c>
      <x:c r="I162" t="n">
        <x:f>VLOOKUP(C162,'원본_AIDeck'!$B$2:$N$47,12,FALSE)</x:f>
        <x:v>6</x:v>
      </x:c>
      <x:c r="J162" t="n">
        <x:f>VLOOKUP(C162,'원본_AIDeck'!$B$2:$N$47,13,FALSE)</x:f>
        <x:v>38</x:v>
      </x:c>
      <x:c r="K162" t="n">
        <x:f>VLOOKUP(E162,'카드성장'!$A$7:$G$46,'원본_RankAiEncounter'!E157+2,FALSE)+SUMIF('원본_CardLimitBreak'!$B$2:$B$4,"&lt;="&amp;'원본_RankAiEncounter'!K157,'원본_CardLimitBreak'!$C$2:$C$4)</x:f>
        <x:v>18</x:v>
      </x:c>
      <x:c r="L162" t="n">
        <x:f>VLOOKUP(F162,'카드성장'!$A$7:$G$46,'원본_RankAiEncounter'!F157+2,FALSE)+SUMIF('원본_CardLimitBreak'!$B$2:$B$4,"&lt;="&amp;'원본_RankAiEncounter'!L157,'원본_CardLimitBreak'!$C$2:$C$4)</x:f>
        <x:v>16</x:v>
      </x:c>
      <x:c r="M162" t="n">
        <x:f>VLOOKUP(G162,'카드성장'!$A$7:$G$46,'원본_RankAiEncounter'!G157+2,FALSE)+SUMIF('원본_CardLimitBreak'!$B$2:$B$4,"&lt;="&amp;'원본_RankAiEncounter'!M157,'원본_CardLimitBreak'!$C$2:$C$4)</x:f>
        <x:v>17</x:v>
      </x:c>
      <x:c r="N162" t="n">
        <x:f>VLOOKUP(H162,'카드성장'!$A$7:$G$46,'원본_RankAiEncounter'!H157+2,FALSE)+SUMIF('원본_CardLimitBreak'!$B$2:$B$4,"&lt;="&amp;'원본_RankAiEncounter'!N157,'원본_CardLimitBreak'!$C$2:$C$4)</x:f>
        <x:v>15</x:v>
      </x:c>
      <x:c r="O162" t="n">
        <x:f>VLOOKUP(I162,'카드성장'!$A$7:$G$46,'원본_RankAiEncounter'!I157+2,FALSE)+SUMIF('원본_CardLimitBreak'!$B$2:$B$4,"&lt;="&amp;'원본_RankAiEncounter'!O157,'원본_CardLimitBreak'!$C$2:$C$4)</x:f>
        <x:v>20</x:v>
      </x:c>
      <x:c r="P162" t="n">
        <x:f>VLOOKUP(J162,'카드성장'!$A$7:$G$46,'원본_RankAiEncounter'!J157+2,FALSE)+SUMIF('원본_CardLimitBreak'!$B$2:$B$4,"&lt;="&amp;'원본_RankAiEncounter'!P157,'원본_CardLimitBreak'!$C$2:$C$4)</x:f>
        <x:v>21</x:v>
      </x:c>
      <x:c r="Q162" t="n">
        <x:f>SUM(K162:P162)</x:f>
        <x:v>107</x:v>
      </x:c>
    </x:row>
    <x:row r="163">
      <x:c r="A163" t="n">
        <x:f>'원본_RankAiEncounter'!B158</x:f>
        <x:v>15</x:v>
      </x:c>
      <x:c r="B163" t="str">
        <x:f>'원본_RankAiEncounter'!C158</x:f>
        <x:v>GradeFinal</x:v>
      </x:c>
      <x:c r="C163" t="str">
        <x:f>'원본_RankAiEncounter'!D158</x:f>
        <x:v>deck_05</x:v>
      </x:c>
      <x:c r="D163" t="n">
        <x:f>MAX(1,VLOOKUP(C163,'원본_AIDeck'!$B$2:$N$47,5,FALSE))</x:f>
        <x:v>1</x:v>
      </x:c>
      <x:c r="E163" t="n">
        <x:f>VLOOKUP(C163,'원본_AIDeck'!$B$2:$N$47,8,FALSE)</x:f>
        <x:v>15</x:v>
      </x:c>
      <x:c r="F163" t="n">
        <x:f>VLOOKUP(C163,'원본_AIDeck'!$B$2:$N$47,9,FALSE)</x:f>
        <x:v>16</x:v>
      </x:c>
      <x:c r="G163" t="n">
        <x:f>VLOOKUP(C163,'원본_AIDeck'!$B$2:$N$47,10,FALSE)</x:f>
        <x:v>25</x:v>
      </x:c>
      <x:c r="H163" t="n">
        <x:f>VLOOKUP(C163,'원본_AIDeck'!$B$2:$N$47,11,FALSE)</x:f>
        <x:v>20</x:v>
      </x:c>
      <x:c r="I163" t="n">
        <x:f>VLOOKUP(C163,'원본_AIDeck'!$B$2:$N$47,12,FALSE)</x:f>
        <x:v>29</x:v>
      </x:c>
      <x:c r="J163" t="n">
        <x:f>VLOOKUP(C163,'원본_AIDeck'!$B$2:$N$47,13,FALSE)</x:f>
        <x:v>37</x:v>
      </x:c>
      <x:c r="K163" t="n">
        <x:f>VLOOKUP(E163,'카드성장'!$A$7:$G$46,'원본_RankAiEncounter'!E158+2,FALSE)+SUMIF('원본_CardLimitBreak'!$B$2:$B$4,"&lt;="&amp;'원본_RankAiEncounter'!K158,'원본_CardLimitBreak'!$C$2:$C$4)</x:f>
        <x:v>15</x:v>
      </x:c>
      <x:c r="L163" t="n">
        <x:f>VLOOKUP(F163,'카드성장'!$A$7:$G$46,'원본_RankAiEncounter'!F158+2,FALSE)+SUMIF('원본_CardLimitBreak'!$B$2:$B$4,"&lt;="&amp;'원본_RankAiEncounter'!L158,'원본_CardLimitBreak'!$C$2:$C$4)</x:f>
        <x:v>14</x:v>
      </x:c>
      <x:c r="M163" t="n">
        <x:f>VLOOKUP(G163,'카드성장'!$A$7:$G$46,'원본_RankAiEncounter'!G158+2,FALSE)+SUMIF('원본_CardLimitBreak'!$B$2:$B$4,"&lt;="&amp;'원본_RankAiEncounter'!M158,'원본_CardLimitBreak'!$C$2:$C$4)</x:f>
        <x:v>20</x:v>
      </x:c>
      <x:c r="N163" t="n">
        <x:f>VLOOKUP(H163,'카드성장'!$A$7:$G$46,'원본_RankAiEncounter'!H158+2,FALSE)+SUMIF('원본_CardLimitBreak'!$B$2:$B$4,"&lt;="&amp;'원본_RankAiEncounter'!N158,'원본_CardLimitBreak'!$C$2:$C$4)</x:f>
        <x:v>18</x:v>
      </x:c>
      <x:c r="O163" t="n">
        <x:f>VLOOKUP(I163,'카드성장'!$A$7:$G$46,'원본_RankAiEncounter'!I158+2,FALSE)+SUMIF('원본_CardLimitBreak'!$B$2:$B$4,"&lt;="&amp;'원본_RankAiEncounter'!O158,'원본_CardLimitBreak'!$C$2:$C$4)</x:f>
        <x:v>18</x:v>
      </x:c>
      <x:c r="P163" t="n">
        <x:f>VLOOKUP(J163,'카드성장'!$A$7:$G$46,'원본_RankAiEncounter'!J158+2,FALSE)+SUMIF('원본_CardLimitBreak'!$B$2:$B$4,"&lt;="&amp;'원본_RankAiEncounter'!P158,'원본_CardLimitBreak'!$C$2:$C$4)</x:f>
        <x:v>17</x:v>
      </x:c>
      <x:c r="Q163" t="n">
        <x:f>SUM(K163:P163)</x:f>
        <x:v>102</x:v>
      </x:c>
    </x:row>
    <x:row r="164">
      <x:c r="A164" t="n">
        <x:f>'원본_RankAiEncounter'!B159</x:f>
        <x:v>15</x:v>
      </x:c>
      <x:c r="B164" t="str">
        <x:f>'원본_RankAiEncounter'!C159</x:f>
        <x:v>GradeFinal</x:v>
      </x:c>
      <x:c r="C164" t="str">
        <x:f>'원본_RankAiEncounter'!D159</x:f>
        <x:v>deck_06</x:v>
      </x:c>
      <x:c r="D164" t="n">
        <x:f>MAX(1,VLOOKUP(C164,'원본_AIDeck'!$B$2:$N$47,5,FALSE))</x:f>
        <x:v>1</x:v>
      </x:c>
      <x:c r="E164" t="n">
        <x:f>VLOOKUP(C164,'원본_AIDeck'!$B$2:$N$47,8,FALSE)</x:f>
        <x:v>15</x:v>
      </x:c>
      <x:c r="F164" t="n">
        <x:f>VLOOKUP(C164,'원본_AIDeck'!$B$2:$N$47,9,FALSE)</x:f>
        <x:v>16</x:v>
      </x:c>
      <x:c r="G164" t="n">
        <x:f>VLOOKUP(C164,'원본_AIDeck'!$B$2:$N$47,10,FALSE)</x:f>
        <x:v>25</x:v>
      </x:c>
      <x:c r="H164" t="n">
        <x:f>VLOOKUP(C164,'원본_AIDeck'!$B$2:$N$47,11,FALSE)</x:f>
        <x:v>20</x:v>
      </x:c>
      <x:c r="I164" t="n">
        <x:f>VLOOKUP(C164,'원본_AIDeck'!$B$2:$N$47,12,FALSE)</x:f>
        <x:v>6</x:v>
      </x:c>
      <x:c r="J164" t="n">
        <x:f>VLOOKUP(C164,'원본_AIDeck'!$B$2:$N$47,13,FALSE)</x:f>
        <x:v>38</x:v>
      </x:c>
      <x:c r="K164" t="n">
        <x:f>VLOOKUP(E164,'카드성장'!$A$7:$G$46,'원본_RankAiEncounter'!E159+2,FALSE)+SUMIF('원본_CardLimitBreak'!$B$2:$B$4,"&lt;="&amp;'원본_RankAiEncounter'!K159,'원본_CardLimitBreak'!$C$2:$C$4)</x:f>
        <x:v>15</x:v>
      </x:c>
      <x:c r="L164" t="n">
        <x:f>VLOOKUP(F164,'카드성장'!$A$7:$G$46,'원본_RankAiEncounter'!F159+2,FALSE)+SUMIF('원본_CardLimitBreak'!$B$2:$B$4,"&lt;="&amp;'원본_RankAiEncounter'!L159,'원본_CardLimitBreak'!$C$2:$C$4)</x:f>
        <x:v>14</x:v>
      </x:c>
      <x:c r="M164" t="n">
        <x:f>VLOOKUP(G164,'카드성장'!$A$7:$G$46,'원본_RankAiEncounter'!G159+2,FALSE)+SUMIF('원본_CardLimitBreak'!$B$2:$B$4,"&lt;="&amp;'원본_RankAiEncounter'!M159,'원본_CardLimitBreak'!$C$2:$C$4)</x:f>
        <x:v>20</x:v>
      </x:c>
      <x:c r="N164" t="n">
        <x:f>VLOOKUP(H164,'카드성장'!$A$7:$G$46,'원본_RankAiEncounter'!H159+2,FALSE)+SUMIF('원본_CardLimitBreak'!$B$2:$B$4,"&lt;="&amp;'원본_RankAiEncounter'!N159,'원본_CardLimitBreak'!$C$2:$C$4)</x:f>
        <x:v>18</x:v>
      </x:c>
      <x:c r="O164" t="n">
        <x:f>VLOOKUP(I164,'카드성장'!$A$7:$G$46,'원본_RankAiEncounter'!I159+2,FALSE)+SUMIF('원본_CardLimitBreak'!$B$2:$B$4,"&lt;="&amp;'원본_RankAiEncounter'!O159,'원본_CardLimitBreak'!$C$2:$C$4)</x:f>
        <x:v>20</x:v>
      </x:c>
      <x:c r="P164" t="n">
        <x:f>VLOOKUP(J164,'카드성장'!$A$7:$G$46,'원본_RankAiEncounter'!J159+2,FALSE)+SUMIF('원본_CardLimitBreak'!$B$2:$B$4,"&lt;="&amp;'원본_RankAiEncounter'!P159,'원본_CardLimitBreak'!$C$2:$C$4)</x:f>
        <x:v>20</x:v>
      </x:c>
      <x:c r="Q164" t="n">
        <x:f>SUM(K164:P164)</x:f>
        <x:v>107</x:v>
      </x:c>
    </x:row>
    <x:row r="165">
      <x:c r="A165" t="n">
        <x:f>'원본_RankAiEncounter'!B160</x:f>
        <x:v>15</x:v>
      </x:c>
      <x:c r="B165" t="str">
        <x:f>'원본_RankAiEncounter'!C160</x:f>
        <x:v>GradeFinal</x:v>
      </x:c>
      <x:c r="C165" t="str">
        <x:f>'원본_RankAiEncounter'!D160</x:f>
        <x:v>deck_07</x:v>
      </x:c>
      <x:c r="D165" t="n">
        <x:f>MAX(1,VLOOKUP(C165,'원본_AIDeck'!$B$2:$N$47,5,FALSE))</x:f>
        <x:v>1</x:v>
      </x:c>
      <x:c r="E165" t="n">
        <x:f>VLOOKUP(C165,'원본_AIDeck'!$B$2:$N$47,8,FALSE)</x:f>
        <x:v>8</x:v>
      </x:c>
      <x:c r="F165" t="n">
        <x:f>VLOOKUP(C165,'원본_AIDeck'!$B$2:$N$47,9,FALSE)</x:f>
        <x:v>9</x:v>
      </x:c>
      <x:c r="G165" t="n">
        <x:f>VLOOKUP(C165,'원본_AIDeck'!$B$2:$N$47,10,FALSE)</x:f>
        <x:v>10</x:v>
      </x:c>
      <x:c r="H165" t="n">
        <x:f>VLOOKUP(C165,'원본_AIDeck'!$B$2:$N$47,11,FALSE)</x:f>
        <x:v>20</x:v>
      </x:c>
      <x:c r="I165" t="n">
        <x:f>VLOOKUP(C165,'원본_AIDeck'!$B$2:$N$47,12,FALSE)</x:f>
        <x:v>6</x:v>
      </x:c>
      <x:c r="J165" t="n">
        <x:f>VLOOKUP(C165,'원본_AIDeck'!$B$2:$N$47,13,FALSE)</x:f>
        <x:v>27</x:v>
      </x:c>
      <x:c r="K165" t="n">
        <x:f>VLOOKUP(E165,'카드성장'!$A$7:$G$46,'원본_RankAiEncounter'!E160+2,FALSE)+SUMIF('원본_CardLimitBreak'!$B$2:$B$4,"&lt;="&amp;'원본_RankAiEncounter'!K160,'원본_CardLimitBreak'!$C$2:$C$4)</x:f>
        <x:v>18</x:v>
      </x:c>
      <x:c r="L165" t="n">
        <x:f>VLOOKUP(F165,'카드성장'!$A$7:$G$46,'원본_RankAiEncounter'!F160+2,FALSE)+SUMIF('원본_CardLimitBreak'!$B$2:$B$4,"&lt;="&amp;'원본_RankAiEncounter'!L160,'원본_CardLimitBreak'!$C$2:$C$4)</x:f>
        <x:v>16</x:v>
      </x:c>
      <x:c r="M165" t="n">
        <x:f>VLOOKUP(G165,'카드성장'!$A$7:$G$46,'원본_RankAiEncounter'!G160+2,FALSE)+SUMIF('원본_CardLimitBreak'!$B$2:$B$4,"&lt;="&amp;'원본_RankAiEncounter'!M160,'원본_CardLimitBreak'!$C$2:$C$4)</x:f>
        <x:v>20</x:v>
      </x:c>
      <x:c r="N165" t="n">
        <x:f>VLOOKUP(H165,'카드성장'!$A$7:$G$46,'원본_RankAiEncounter'!H160+2,FALSE)+SUMIF('원본_CardLimitBreak'!$B$2:$B$4,"&lt;="&amp;'원본_RankAiEncounter'!N160,'원본_CardLimitBreak'!$C$2:$C$4)</x:f>
        <x:v>18</x:v>
      </x:c>
      <x:c r="O165" t="n">
        <x:f>VLOOKUP(I165,'카드성장'!$A$7:$G$46,'원본_RankAiEncounter'!I160+2,FALSE)+SUMIF('원본_CardLimitBreak'!$B$2:$B$4,"&lt;="&amp;'원본_RankAiEncounter'!O160,'원본_CardLimitBreak'!$C$2:$C$4)</x:f>
        <x:v>20</x:v>
      </x:c>
      <x:c r="P165" t="n">
        <x:f>VLOOKUP(J165,'카드성장'!$A$7:$G$46,'원본_RankAiEncounter'!J160+2,FALSE)+SUMIF('원본_CardLimitBreak'!$B$2:$B$4,"&lt;="&amp;'원본_RankAiEncounter'!P160,'원본_CardLimitBreak'!$C$2:$C$4)</x:f>
        <x:v>15</x:v>
      </x:c>
      <x:c r="Q165" t="n">
        <x:f>SUM(K165:P165)</x:f>
        <x:v>107</x:v>
      </x:c>
    </x:row>
    <x:row r="166">
      <x:c r="A166" t="n">
        <x:f>'원본_RankAiEncounter'!B161</x:f>
        <x:v>15</x:v>
      </x:c>
      <x:c r="B166" t="str">
        <x:f>'원본_RankAiEncounter'!C161</x:f>
        <x:v>GradeFinal</x:v>
      </x:c>
      <x:c r="C166" t="str">
        <x:f>'원본_RankAiEncounter'!D161</x:f>
        <x:v>deck_08</x:v>
      </x:c>
      <x:c r="D166" t="n">
        <x:f>MAX(1,VLOOKUP(C166,'원본_AIDeck'!$B$2:$N$47,5,FALSE))</x:f>
        <x:v>1</x:v>
      </x:c>
      <x:c r="E166" t="n">
        <x:f>VLOOKUP(C166,'원본_AIDeck'!$B$2:$N$47,8,FALSE)</x:f>
        <x:v>5</x:v>
      </x:c>
      <x:c r="F166" t="n">
        <x:f>VLOOKUP(C166,'원본_AIDeck'!$B$2:$N$47,9,FALSE)</x:f>
        <x:v>6</x:v>
      </x:c>
      <x:c r="G166" t="n">
        <x:f>VLOOKUP(C166,'원본_AIDeck'!$B$2:$N$47,10,FALSE)</x:f>
        <x:v>33</x:v>
      </x:c>
      <x:c r="H166" t="n">
        <x:f>VLOOKUP(C166,'원본_AIDeck'!$B$2:$N$47,11,FALSE)</x:f>
        <x:v>28</x:v>
      </x:c>
      <x:c r="I166" t="n">
        <x:f>VLOOKUP(C166,'원본_AIDeck'!$B$2:$N$47,12,FALSE)</x:f>
        <x:v>12</x:v>
      </x:c>
      <x:c r="J166" t="n">
        <x:f>VLOOKUP(C166,'원본_AIDeck'!$B$2:$N$47,13,FALSE)</x:f>
        <x:v>10</x:v>
      </x:c>
      <x:c r="K166" t="n">
        <x:f>VLOOKUP(E166,'카드성장'!$A$7:$G$46,'원본_RankAiEncounter'!E161+2,FALSE)+SUMIF('원본_CardLimitBreak'!$B$2:$B$4,"&lt;="&amp;'원본_RankAiEncounter'!K161,'원본_CardLimitBreak'!$C$2:$C$4)</x:f>
        <x:v>20</x:v>
      </x:c>
      <x:c r="L166" t="n">
        <x:f>VLOOKUP(F166,'카드성장'!$A$7:$G$46,'원본_RankAiEncounter'!F161+2,FALSE)+SUMIF('원본_CardLimitBreak'!$B$2:$B$4,"&lt;="&amp;'원본_RankAiEncounter'!L161,'원본_CardLimitBreak'!$C$2:$C$4)</x:f>
        <x:v>20</x:v>
      </x:c>
      <x:c r="M166" t="n">
        <x:f>VLOOKUP(G166,'카드성장'!$A$7:$G$46,'원본_RankAiEncounter'!G161+2,FALSE)+SUMIF('원본_CardLimitBreak'!$B$2:$B$4,"&lt;="&amp;'원본_RankAiEncounter'!M161,'원본_CardLimitBreak'!$C$2:$C$4)</x:f>
        <x:v>16</x:v>
      </x:c>
      <x:c r="N166" t="n">
        <x:f>VLOOKUP(H166,'카드성장'!$A$7:$G$46,'원본_RankAiEncounter'!H161+2,FALSE)+SUMIF('원본_CardLimitBreak'!$B$2:$B$4,"&lt;="&amp;'원본_RankAiEncounter'!N161,'원본_CardLimitBreak'!$C$2:$C$4)</x:f>
        <x:v>20</x:v>
      </x:c>
      <x:c r="O166" t="n">
        <x:f>VLOOKUP(I166,'카드성장'!$A$7:$G$46,'원본_RankAiEncounter'!I161+2,FALSE)+SUMIF('원본_CardLimitBreak'!$B$2:$B$4,"&lt;="&amp;'원본_RankAiEncounter'!O161,'원본_CardLimitBreak'!$C$2:$C$4)</x:f>
        <x:v>21</x:v>
      </x:c>
      <x:c r="P166" t="n">
        <x:f>VLOOKUP(J166,'카드성장'!$A$7:$G$46,'원본_RankAiEncounter'!J161+2,FALSE)+SUMIF('원본_CardLimitBreak'!$B$2:$B$4,"&lt;="&amp;'원본_RankAiEncounter'!P161,'원본_CardLimitBreak'!$C$2:$C$4)</x:f>
        <x:v>19</x:v>
      </x:c>
      <x:c r="Q166" t="n">
        <x:f>SUM(K166:P166)</x:f>
        <x:v>116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5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23" customHeight="1">
      <x:c r="A2" s="9" t="str">
        <x:v>사용법과 데이터 범위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10" t="str">
        <x:v>2026-09-18 로컬 CSV 28개를 포함합니다. Google Sheets·서버 상태는 조회하지 않았습니다.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6" ht="23" customHeight="1">
      <x:c r="A6" s="8" t="str">
        <x:v>1. 입력 탭의 노란 셀에서 비교 덱과 성장 가정을 바꾸세요.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</x:row>
    <x:row r="7" ht="23" customHeight="1">
      <x:c r="A7" s="8" t="str">
        <x:v>2. 카드성장·모험·랭크 탭에서 HP 곡선을 비교하세요.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</x:row>
    <x:row r="8" ht="23" customHeight="1">
      <x:c r="A8" s="8" t="str">
        <x:v>3. 재화계획 C·D열에 실제 계획한 수입과 강화비를 입력하세요.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</x:row>
    <x:row r="9" ht="23" customHeight="1">
      <x:c r="A9" s="8" t="str">
        <x:v>4. 성장속도는 일평균 모델입니다. 일회성 보상은 제외돼 있습니다.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</x:row>
    <x:row r="10" ht="23" customHeight="1">
      <x:c r="A10" s="8" t="str">
        <x:v>5. Google Drive에 XLSX 업로드 후 Google 스프레드시트로 열어 가져오세요.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</x:row>
    <x:row r="11" ht="23" customHeight="1">
      <x:c r="A11" s="8" t="str">
        <x:v>6. 가져온 뒤 입력값 변경 시 차트가 움직이는지 확인하세요.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</x:row>
    <x:row r="12" ht="23" customHeight="1">
      <x:c r="A12" s="8" t="str">
        <x:v>원본 탭은 분석 파일의 사본입니다. 게임 CSV·bytes·서버를 변경하지 않습니다.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</x:row>
    <x:row r="13" ht="23" customHeight="1">
      <x:c r="A13" s="8" t="str">
        <x:v>CSV 추가 행은 자동 확장되지 않습니다. 원본 행 수가 바뀌면 분석 파일 재생성이 필요합니다.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</x:row>
    <x:row r="14" ht="23" customHeight="1">
      <x:c r="A14" s="8" t="str">
        <x:v>원본 표는 헤더를 1행으로 정리했습니다. 게임 생성기에 다시 넣는 파일이 아닙니다.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</x:row>
    <x:row r="15" ht="23" customHeight="1">
      <x:c r="A15" s="8" t="str">
        <x:v>HP에는 전투 중 시너지 효과·키워드 강화·행동 순서가 반영되지 않습니다.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</x:row>
    <x:row r="16" ht="23" customHeight="1">
      <x:c r="A16" s="8" t="str">
        <x:v>한계돌파는 Lv4에서만 유효합니다. 잘못된 입력은 #N/A가 됩니다.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</x:row>
    <x:row r="17" ht="23" customHeight="1">
      <x:c r="A17" s="8" t="str">
        <x:v>재화계획의 0 입력은 미작성 가정입니다. 완성된 신규 유저 수급 시뮬레이션이 아닙니다.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</x:row>
    <x:row r="18" ht="23" customHeight="1">
      <x:c r="A18" s="8" t="str">
        <x:v>퇴역 표 AIDeckCard·AdventureReward는 보존만 하며 계산에 사용하지 않습니다.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</x:row>
    <x:row r="19" ht="23" customHeight="1">
      <x:c r="A19" s="8" t="str">
        <x:v>보상은 ownerType·ownerId·rewardType·rewardId별로 의미가 다릅니다. 전체 금액 합산 금지.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</x:row>
    <x:row r="20" ht="23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</x:row>
    <x:row r="21" ht="23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</x:row>
    <x:row r="22" ht="23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</x:row>
    <x:row r="23" ht="30" customHeight="1">
      <x:c r="A23" s="4" t="str">
        <x:v>원본 표</x:v>
      </x:c>
      <x:c r="B23" s="4" t="str">
        <x:v>데이터 행 수</x:v>
      </x:c>
      <x:c r="C23" s="4" t="str">
        <x:v>출처 파일</x:v>
      </x:c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</x:row>
    <x:row r="24" ht="23" customHeight="1">
      <x:c r="A24" s="8" t="str">
        <x:v>AccountLevel</x:v>
      </x:c>
      <x:c r="B24" s="8" t="n">
        <x:v>50</x:v>
      </x:c>
      <x:c r="C24" s="8" t="str">
        <x:v>docs/SpecData/AccountLevel_sheet.csv</x:v>
      </x:c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</x:row>
    <x:row r="25" ht="23" customHeight="1">
      <x:c r="A25" s="8" t="str">
        <x:v>AdventureChapter</x:v>
      </x:c>
      <x:c r="B25" s="8" t="n">
        <x:v>24</x:v>
      </x:c>
      <x:c r="C25" s="8" t="str">
        <x:v>docs/SpecData/AdventureChapter_sheet.csv</x:v>
      </x:c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</x:row>
    <x:row r="26" ht="23" customHeight="1">
      <x:c r="A26" s="8" t="str">
        <x:v>AdventureReward</x:v>
      </x:c>
      <x:c r="B26" s="8" t="n">
        <x:v>40</x:v>
      </x:c>
      <x:c r="C26" s="8" t="str">
        <x:v>docs/SpecData/AdventureReward_sheet.csv</x:v>
      </x:c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</x:row>
    <x:row r="27" ht="23" customHeight="1">
      <x:c r="A27" s="8" t="str">
        <x:v>AIDeckCard</x:v>
      </x:c>
      <x:c r="B27" s="8" t="n">
        <x:v>132</x:v>
      </x:c>
      <x:c r="C27" s="8" t="str">
        <x:v>docs/SpecData/AIDeckCard_sheet.csv</x:v>
      </x:c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</x:row>
    <x:row r="28" ht="23" customHeight="1">
      <x:c r="A28" s="8" t="str">
        <x:v>AIDeck</x:v>
      </x:c>
      <x:c r="B28" s="8" t="n">
        <x:v>46</x:v>
      </x:c>
      <x:c r="C28" s="8" t="str">
        <x:v>docs/SpecData/AIDeck_sheet.csv</x:v>
      </x:c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</x:row>
    <x:row r="29" ht="23" customHeight="1">
      <x:c r="A29" s="8" t="str">
        <x:v>AlbumEntry</x:v>
      </x:c>
      <x:c r="B29" s="8" t="n">
        <x:v>40</x:v>
      </x:c>
      <x:c r="C29" s="8" t="str">
        <x:v>docs/SpecData/AlbumEntry_sheet.csv</x:v>
      </x:c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</x:row>
    <x:row r="30" ht="23" customHeight="1">
      <x:c r="A30" s="8" t="str">
        <x:v>AlbumThemeInfo</x:v>
      </x:c>
      <x:c r="B30" s="8" t="n">
        <x:v>3</x:v>
      </x:c>
      <x:c r="C30" s="8" t="str">
        <x:v>docs/SpecData/AlbumThemeInfo_sheet.csv</x:v>
      </x:c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</x:row>
    <x:row r="31" ht="23" customHeight="1">
      <x:c r="A31" s="8" t="str">
        <x:v>CardEnhanceRule</x:v>
      </x:c>
      <x:c r="B31" s="8" t="n">
        <x:v>1</x:v>
      </x:c>
      <x:c r="C31" s="8" t="str">
        <x:v>docs/SpecData/CardEnhanceRule_sheet.csv</x:v>
      </x:c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</x:row>
    <x:row r="32" ht="23" customHeight="1">
      <x:c r="A32" s="8" t="str">
        <x:v>CardEnhance</x:v>
      </x:c>
      <x:c r="B32" s="8" t="n">
        <x:v>3</x:v>
      </x:c>
      <x:c r="C32" s="8" t="str">
        <x:v>docs/SpecData/CardEnhance_sheet.csv</x:v>
      </x:c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</x:row>
    <x:row r="33" ht="23" customHeight="1">
      <x:c r="A33" s="8" t="str">
        <x:v>CardGrade</x:v>
      </x:c>
      <x:c r="B33" s="8" t="n">
        <x:v>4</x:v>
      </x:c>
      <x:c r="C33" s="8" t="str">
        <x:v>docs/SpecData/CardGrade_sheet.csv</x:v>
      </x:c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</x:row>
    <x:row r="34" ht="23" customHeight="1">
      <x:c r="A34" s="8" t="str">
        <x:v>CardLimitBreak</x:v>
      </x:c>
      <x:c r="B34" s="8" t="n">
        <x:v>3</x:v>
      </x:c>
      <x:c r="C34" s="8" t="str">
        <x:v>docs/SpecData/CardLimitBreak_sheet.csv</x:v>
      </x:c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</x:row>
    <x:row r="35" ht="23" customHeight="1">
      <x:c r="A35" s="8" t="str">
        <x:v>CardPackDrop</x:v>
      </x:c>
      <x:c r="B35" s="8" t="n">
        <x:v>244</x:v>
      </x:c>
      <x:c r="C35" s="8" t="str">
        <x:v>docs/SpecData/CardPackDrop_sheet.csv</x:v>
      </x:c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</x:row>
    <x:row r="36" ht="23" customHeight="1">
      <x:c r="A36" s="8" t="str">
        <x:v>CardPack</x:v>
      </x:c>
      <x:c r="B36" s="8" t="n">
        <x:v>13</x:v>
      </x:c>
      <x:c r="C36" s="8" t="str">
        <x:v>docs/SpecData/CardPack_sheet.csv</x:v>
      </x:c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</x:row>
    <x:row r="37" ht="23" customHeight="1">
      <x:c r="A37" s="8" t="str">
        <x:v>Card</x:v>
      </x:c>
      <x:c r="B37" s="8" t="n">
        <x:v>40</x:v>
      </x:c>
      <x:c r="C37" s="8" t="str">
        <x:v>docs/SpecData/Card_sheet.csv</x:v>
      </x:c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</x:row>
    <x:row r="38" ht="23" customHeight="1">
      <x:c r="A38" s="8" t="str">
        <x:v>enum</x:v>
      </x:c>
      <x:c r="B38" s="8" t="n">
        <x:v>11</x:v>
      </x:c>
      <x:c r="C38" s="8" t="str">
        <x:v>docs/SpecData/enum_sheet.csv</x:v>
      </x:c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</x:row>
    <x:row r="39" ht="23" customHeight="1">
      <x:c r="A39" s="8" t="str">
        <x:v>KeywordEnhance</x:v>
      </x:c>
      <x:c r="B39" s="8" t="n">
        <x:v>6</x:v>
      </x:c>
      <x:c r="C39" s="8" t="str">
        <x:v>docs/SpecData/KeywordEnhance_sheet.csv</x:v>
      </x:c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</x:row>
    <x:row r="40" ht="23" customHeight="1">
      <x:c r="A40" s="8" t="str">
        <x:v>LoadingTip</x:v>
      </x:c>
      <x:c r="B40" s="8" t="n">
        <x:v>6</x:v>
      </x:c>
      <x:c r="C40" s="8" t="str">
        <x:v>docs/SpecData/LoadingTip_sheet.csv</x:v>
      </x:c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</x:row>
    <x:row r="41" ht="23" customHeight="1">
      <x:c r="A41" s="8" t="str">
        <x:v>Mission</x:v>
      </x:c>
      <x:c r="B41" s="8" t="n">
        <x:v>35</x:v>
      </x:c>
      <x:c r="C41" s="8" t="str">
        <x:v>docs/SpecData/Mission_sheet.csv</x:v>
      </x:c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</x:row>
    <x:row r="42" ht="23" customHeight="1">
      <x:c r="A42" s="8" t="str">
        <x:v>PassLevel</x:v>
      </x:c>
      <x:c r="B42" s="8" t="n">
        <x:v>10</x:v>
      </x:c>
      <x:c r="C42" s="8" t="str">
        <x:v>docs/SpecData/PassLevel_sheet.csv</x:v>
      </x:c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</x:row>
    <x:row r="43" ht="23" customHeight="1">
      <x:c r="A43" s="8" t="str">
        <x:v>PassSeason</x:v>
      </x:c>
      <x:c r="B43" s="8" t="n">
        <x:v>1</x:v>
      </x:c>
      <x:c r="C43" s="8" t="str">
        <x:v>docs/SpecData/PassSeason_sheet.csv</x:v>
      </x:c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</x:row>
    <x:row r="44" ht="23" customHeight="1">
      <x:c r="A44" s="8" t="str">
        <x:v>RankAiEncounter</x:v>
      </x:c>
      <x:c r="B44" s="8" t="n">
        <x:v>160</x:v>
      </x:c>
      <x:c r="C44" s="8" t="str">
        <x:v>docs/SpecData/RankAiEncounter_sheet.csv</x:v>
      </x:c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</x:row>
    <x:row r="45" ht="23" customHeight="1">
      <x:c r="A45" s="8" t="str">
        <x:v>RankGrade</x:v>
      </x:c>
      <x:c r="B45" s="8" t="n">
        <x:v>5</x:v>
      </x:c>
      <x:c r="C45" s="8" t="str">
        <x:v>docs/SpecData/RankGrade_sheet.csv</x:v>
      </x:c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</x:row>
    <x:row r="46" ht="23" customHeight="1">
      <x:c r="A46" s="8" t="str">
        <x:v>Reward</x:v>
      </x:c>
      <x:c r="B46" s="8" t="n">
        <x:v>213</x:v>
      </x:c>
      <x:c r="C46" s="8" t="str">
        <x:v>docs/SpecData/Reward_sheet.csv</x:v>
      </x:c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</x:row>
    <x:row r="47" ht="23" customHeight="1">
      <x:c r="A47" s="8" t="str">
        <x:v>RouletteSlot</x:v>
      </x:c>
      <x:c r="B47" s="8" t="n">
        <x:v>8</x:v>
      </x:c>
      <x:c r="C47" s="8" t="str">
        <x:v>docs/SpecData/RouletteSlot_sheet.csv</x:v>
      </x:c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</x:row>
    <x:row r="48" ht="23" customHeight="1">
      <x:c r="A48" s="8" t="str">
        <x:v>Roulette</x:v>
      </x:c>
      <x:c r="B48" s="8" t="n">
        <x:v>1</x:v>
      </x:c>
      <x:c r="C48" s="8" t="str">
        <x:v>docs/SpecData/Roulette_sheet.csv</x:v>
      </x:c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</x:row>
    <x:row r="49" ht="23" customHeight="1">
      <x:c r="A49" s="8" t="str">
        <x:v>SynergyDef</x:v>
      </x:c>
      <x:c r="B49" s="8" t="n">
        <x:v>8</x:v>
      </x:c>
      <x:c r="C49" s="8" t="str">
        <x:v>docs/SpecData/SynergyDef_sheet.csv</x:v>
      </x:c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</x:row>
    <x:row r="50" ht="23" customHeight="1">
      <x:c r="A50" s="8" t="str">
        <x:v>SynergyEffectDef</x:v>
      </x:c>
      <x:c r="B50" s="8" t="n">
        <x:v>16</x:v>
      </x:c>
      <x:c r="C50" s="8" t="str">
        <x:v>docs/SpecData/SynergyEffectDef_sheet.csv</x:v>
      </x:c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</x:row>
    <x:row r="51" ht="23" customHeight="1">
      <x:c r="A51" s="8" t="str">
        <x:v>SynergyTierDef</x:v>
      </x:c>
      <x:c r="B51" s="8" t="n">
        <x:v>16</x:v>
      </x:c>
      <x:c r="C51" s="8" t="str">
        <x:v>docs/SpecData/SynergyTierDef_sheet.csv</x:v>
      </x:c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52" hidden="0" customWidth="1"/>
  </x:cols>
  <x:sheetData>
    <x:row r="1" ht="44" customHeight="1">
      <x:c r="A1" s="5" t="str">
        <x:v>id</x:v>
      </x:c>
      <x:c r="B1" s="5" t="str">
        <x:v>requiredExp</x:v>
      </x:c>
      <x:c r="C1" s="5" t="str">
        <x:v>winExp</x:v>
      </x:c>
      <x:c r="D1" s="5" t="str">
        <x:v>loseExp</x:v>
      </x:c>
      <x:c r="E1" s="5" t="str">
        <x:v>#memo</x:v>
      </x:c>
    </x:row>
    <x:row r="2" ht="15" hidden="0" customHeight="1">
      <x:c r="A2" s="7" t="n">
        <x:v>1</x:v>
      </x:c>
      <x:c r="B2" s="7" t="n">
        <x:v>0</x:v>
      </x:c>
      <x:c r="C2" s="7" t="n">
        <x:v>100</x:v>
      </x:c>
      <x:c r="D2" s="7" t="n">
        <x:v>50</x:v>
      </x:c>
      <x:c r="E2" s="6" t="str">
        <x:v>시작 레벨 — requiredExp는 반드시 0</x:v>
      </x:c>
    </x:row>
    <x:row r="3" ht="15" hidden="0" customHeight="1">
      <x:c r="A3" s="7" t="n">
        <x:v>2</x:v>
      </x:c>
      <x:c r="B3" s="7" t="n">
        <x:v>300</x:v>
      </x:c>
      <x:c r="C3" s="7" t="n">
        <x:v>100</x:v>
      </x:c>
      <x:c r="D3" s="7" t="n">
        <x:v>50</x:v>
      </x:c>
      <x:c r="E3" s="6" t="str">
        <x:v>승 3판</x:v>
      </x:c>
    </x:row>
    <x:row r="4" ht="15" hidden="0" customHeight="1">
      <x:c r="A4" s="7" t="n">
        <x:v>3</x:v>
      </x:c>
      <x:c r="B4" s="7" t="n">
        <x:v>700</x:v>
      </x:c>
      <x:c r="C4" s="7" t="n">
        <x:v>100</x:v>
      </x:c>
      <x:c r="D4" s="7" t="n">
        <x:v>50</x:v>
      </x:c>
      <x:c r="E4" s="6" t="str"/>
    </x:row>
    <x:row r="5" ht="15" hidden="0" customHeight="1">
      <x:c r="A5" s="7" t="n">
        <x:v>4</x:v>
      </x:c>
      <x:c r="B5" s="7" t="n">
        <x:v>1200</x:v>
      </x:c>
      <x:c r="C5" s="7" t="n">
        <x:v>100</x:v>
      </x:c>
      <x:c r="D5" s="7" t="n">
        <x:v>50</x:v>
      </x:c>
      <x:c r="E5" s="6" t="str"/>
    </x:row>
    <x:row r="6" ht="15" hidden="0" customHeight="1">
      <x:c r="A6" s="7" t="n">
        <x:v>5</x:v>
      </x:c>
      <x:c r="B6" s="7" t="n">
        <x:v>1800</x:v>
      </x:c>
      <x:c r="C6" s="7" t="n">
        <x:v>100</x:v>
      </x:c>
      <x:c r="D6" s="7" t="n">
        <x:v>50</x:v>
      </x:c>
      <x:c r="E6" s="6" t="str"/>
    </x:row>
    <x:row r="7" ht="15" hidden="0" customHeight="1">
      <x:c r="A7" s="7" t="n">
        <x:v>6</x:v>
      </x:c>
      <x:c r="B7" s="7" t="n">
        <x:v>2500</x:v>
      </x:c>
      <x:c r="C7" s="7" t="n">
        <x:v>100</x:v>
      </x:c>
      <x:c r="D7" s="7" t="n">
        <x:v>50</x:v>
      </x:c>
      <x:c r="E7" s="6" t="str"/>
    </x:row>
    <x:row r="8" ht="15" hidden="0" customHeight="1">
      <x:c r="A8" s="7" t="n">
        <x:v>7</x:v>
      </x:c>
      <x:c r="B8" s="7" t="n">
        <x:v>3300</x:v>
      </x:c>
      <x:c r="C8" s="7" t="n">
        <x:v>100</x:v>
      </x:c>
      <x:c r="D8" s="7" t="n">
        <x:v>50</x:v>
      </x:c>
      <x:c r="E8" s="6" t="str"/>
    </x:row>
    <x:row r="9" ht="15" hidden="0" customHeight="1">
      <x:c r="A9" s="7" t="n">
        <x:v>8</x:v>
      </x:c>
      <x:c r="B9" s="7" t="n">
        <x:v>4200</x:v>
      </x:c>
      <x:c r="C9" s="7" t="n">
        <x:v>100</x:v>
      </x:c>
      <x:c r="D9" s="7" t="n">
        <x:v>50</x:v>
      </x:c>
      <x:c r="E9" s="6" t="str"/>
    </x:row>
    <x:row r="10" ht="15" hidden="0" customHeight="1">
      <x:c r="A10" s="7" t="n">
        <x:v>9</x:v>
      </x:c>
      <x:c r="B10" s="7" t="n">
        <x:v>5200</x:v>
      </x:c>
      <x:c r="C10" s="7" t="n">
        <x:v>100</x:v>
      </x:c>
      <x:c r="D10" s="7" t="n">
        <x:v>50</x:v>
      </x:c>
      <x:c r="E10" s="6" t="str"/>
    </x:row>
    <x:row r="11" ht="15" hidden="0" customHeight="1">
      <x:c r="A11" s="7" t="n">
        <x:v>10</x:v>
      </x:c>
      <x:c r="B11" s="7" t="n">
        <x:v>6300</x:v>
      </x:c>
      <x:c r="C11" s="7" t="n">
        <x:v>100</x:v>
      </x:c>
      <x:c r="D11" s="7" t="n">
        <x:v>50</x:v>
      </x:c>
      <x:c r="E11" s="6" t="str">
        <x:v>여기까지 승 63판</x:v>
      </x:c>
    </x:row>
    <x:row r="12" ht="15" hidden="0" customHeight="1">
      <x:c r="A12" s="7" t="n">
        <x:v>11</x:v>
      </x:c>
      <x:c r="B12" s="7" t="n">
        <x:v>7500</x:v>
      </x:c>
      <x:c r="C12" s="7" t="n">
        <x:v>100</x:v>
      </x:c>
      <x:c r="D12" s="7" t="n">
        <x:v>50</x:v>
      </x:c>
      <x:c r="E12" s="6" t="str"/>
    </x:row>
    <x:row r="13" ht="15" hidden="0" customHeight="1">
      <x:c r="A13" s="7" t="n">
        <x:v>12</x:v>
      </x:c>
      <x:c r="B13" s="7" t="n">
        <x:v>8800</x:v>
      </x:c>
      <x:c r="C13" s="7" t="n">
        <x:v>100</x:v>
      </x:c>
      <x:c r="D13" s="7" t="n">
        <x:v>50</x:v>
      </x:c>
      <x:c r="E13" s="6" t="str"/>
    </x:row>
    <x:row r="14" ht="15" hidden="0" customHeight="1">
      <x:c r="A14" s="7" t="n">
        <x:v>13</x:v>
      </x:c>
      <x:c r="B14" s="7" t="n">
        <x:v>10200</x:v>
      </x:c>
      <x:c r="C14" s="7" t="n">
        <x:v>100</x:v>
      </x:c>
      <x:c r="D14" s="7" t="n">
        <x:v>50</x:v>
      </x:c>
      <x:c r="E14" s="6" t="str"/>
    </x:row>
    <x:row r="15" ht="15" hidden="0" customHeight="1">
      <x:c r="A15" s="7" t="n">
        <x:v>14</x:v>
      </x:c>
      <x:c r="B15" s="7" t="n">
        <x:v>11700</x:v>
      </x:c>
      <x:c r="C15" s="7" t="n">
        <x:v>100</x:v>
      </x:c>
      <x:c r="D15" s="7" t="n">
        <x:v>50</x:v>
      </x:c>
      <x:c r="E15" s="6" t="str"/>
    </x:row>
    <x:row r="16" ht="15" hidden="0" customHeight="1">
      <x:c r="A16" s="7" t="n">
        <x:v>15</x:v>
      </x:c>
      <x:c r="B16" s="7" t="n">
        <x:v>13300</x:v>
      </x:c>
      <x:c r="C16" s="7" t="n">
        <x:v>100</x:v>
      </x:c>
      <x:c r="D16" s="7" t="n">
        <x:v>50</x:v>
      </x:c>
      <x:c r="E16" s="6" t="str"/>
    </x:row>
    <x:row r="17" ht="15" hidden="0" customHeight="1">
      <x:c r="A17" s="7" t="n">
        <x:v>16</x:v>
      </x:c>
      <x:c r="B17" s="7" t="n">
        <x:v>15000</x:v>
      </x:c>
      <x:c r="C17" s="7" t="n">
        <x:v>100</x:v>
      </x:c>
      <x:c r="D17" s="7" t="n">
        <x:v>50</x:v>
      </x:c>
      <x:c r="E17" s="6" t="str"/>
    </x:row>
    <x:row r="18" ht="15" hidden="0" customHeight="1">
      <x:c r="A18" s="7" t="n">
        <x:v>17</x:v>
      </x:c>
      <x:c r="B18" s="7" t="n">
        <x:v>16800</x:v>
      </x:c>
      <x:c r="C18" s="7" t="n">
        <x:v>100</x:v>
      </x:c>
      <x:c r="D18" s="7" t="n">
        <x:v>50</x:v>
      </x:c>
      <x:c r="E18" s="6" t="str"/>
    </x:row>
    <x:row r="19" ht="15" hidden="0" customHeight="1">
      <x:c r="A19" s="7" t="n">
        <x:v>18</x:v>
      </x:c>
      <x:c r="B19" s="7" t="n">
        <x:v>18700</x:v>
      </x:c>
      <x:c r="C19" s="7" t="n">
        <x:v>100</x:v>
      </x:c>
      <x:c r="D19" s="7" t="n">
        <x:v>50</x:v>
      </x:c>
      <x:c r="E19" s="6" t="str"/>
    </x:row>
    <x:row r="20" ht="15" hidden="0" customHeight="1">
      <x:c r="A20" s="7" t="n">
        <x:v>19</x:v>
      </x:c>
      <x:c r="B20" s="7" t="n">
        <x:v>20700</x:v>
      </x:c>
      <x:c r="C20" s="7" t="n">
        <x:v>100</x:v>
      </x:c>
      <x:c r="D20" s="7" t="n">
        <x:v>50</x:v>
      </x:c>
      <x:c r="E20" s="6" t="str"/>
    </x:row>
    <x:row r="21" ht="15" hidden="0" customHeight="1">
      <x:c r="A21" s="7" t="n">
        <x:v>20</x:v>
      </x:c>
      <x:c r="B21" s="7" t="n">
        <x:v>22800</x:v>
      </x:c>
      <x:c r="C21" s="7" t="n">
        <x:v>100</x:v>
      </x:c>
      <x:c r="D21" s="7" t="n">
        <x:v>50</x:v>
      </x:c>
      <x:c r="E21" s="6" t="str">
        <x:v>여기까지 승 228판</x:v>
      </x:c>
    </x:row>
    <x:row r="22" ht="15" hidden="0" customHeight="1">
      <x:c r="A22" s="7" t="n">
        <x:v>21</x:v>
      </x:c>
      <x:c r="B22" s="7" t="n">
        <x:v>25000</x:v>
      </x:c>
      <x:c r="C22" s="7" t="n">
        <x:v>100</x:v>
      </x:c>
      <x:c r="D22" s="7" t="n">
        <x:v>50</x:v>
      </x:c>
      <x:c r="E22" s="6" t="str"/>
    </x:row>
    <x:row r="23" ht="15" hidden="0" customHeight="1">
      <x:c r="A23" s="7" t="n">
        <x:v>22</x:v>
      </x:c>
      <x:c r="B23" s="7" t="n">
        <x:v>27300</x:v>
      </x:c>
      <x:c r="C23" s="7" t="n">
        <x:v>100</x:v>
      </x:c>
      <x:c r="D23" s="7" t="n">
        <x:v>50</x:v>
      </x:c>
      <x:c r="E23" s="6" t="str"/>
    </x:row>
    <x:row r="24" ht="15" hidden="0" customHeight="1">
      <x:c r="A24" s="7" t="n">
        <x:v>23</x:v>
      </x:c>
      <x:c r="B24" s="7" t="n">
        <x:v>29700</x:v>
      </x:c>
      <x:c r="C24" s="7" t="n">
        <x:v>100</x:v>
      </x:c>
      <x:c r="D24" s="7" t="n">
        <x:v>50</x:v>
      </x:c>
      <x:c r="E24" s="6" t="str"/>
    </x:row>
    <x:row r="25" ht="15" hidden="0" customHeight="1">
      <x:c r="A25" s="7" t="n">
        <x:v>24</x:v>
      </x:c>
      <x:c r="B25" s="7" t="n">
        <x:v>32200</x:v>
      </x:c>
      <x:c r="C25" s="7" t="n">
        <x:v>100</x:v>
      </x:c>
      <x:c r="D25" s="7" t="n">
        <x:v>50</x:v>
      </x:c>
      <x:c r="E25" s="6" t="str"/>
    </x:row>
    <x:row r="26" ht="15" hidden="0" customHeight="1">
      <x:c r="A26" s="7" t="n">
        <x:v>25</x:v>
      </x:c>
      <x:c r="B26" s="7" t="n">
        <x:v>34800</x:v>
      </x:c>
      <x:c r="C26" s="7" t="n">
        <x:v>100</x:v>
      </x:c>
      <x:c r="D26" s="7" t="n">
        <x:v>50</x:v>
      </x:c>
      <x:c r="E26" s="6" t="str"/>
    </x:row>
    <x:row r="27" ht="15" hidden="0" customHeight="1">
      <x:c r="A27" s="7" t="n">
        <x:v>26</x:v>
      </x:c>
      <x:c r="B27" s="7" t="n">
        <x:v>37500</x:v>
      </x:c>
      <x:c r="C27" s="7" t="n">
        <x:v>100</x:v>
      </x:c>
      <x:c r="D27" s="7" t="n">
        <x:v>50</x:v>
      </x:c>
      <x:c r="E27" s="6" t="str">
        <x:v>한 레벨에 승 27판</x:v>
      </x:c>
    </x:row>
    <x:row r="28" ht="15" hidden="0" customHeight="1">
      <x:c r="A28" s="7" t="n">
        <x:v>27</x:v>
      </x:c>
      <x:c r="B28" s="7" t="n">
        <x:v>40300</x:v>
      </x:c>
      <x:c r="C28" s="7" t="n">
        <x:v>100</x:v>
      </x:c>
      <x:c r="D28" s="7" t="n">
        <x:v>50</x:v>
      </x:c>
      <x:c r="E28" s="6" t="str"/>
    </x:row>
    <x:row r="29" ht="15" hidden="0" customHeight="1">
      <x:c r="A29" s="7" t="n">
        <x:v>28</x:v>
      </x:c>
      <x:c r="B29" s="7" t="n">
        <x:v>43200</x:v>
      </x:c>
      <x:c r="C29" s="7" t="n">
        <x:v>100</x:v>
      </x:c>
      <x:c r="D29" s="7" t="n">
        <x:v>50</x:v>
      </x:c>
      <x:c r="E29" s="6" t="str"/>
    </x:row>
    <x:row r="30" ht="15" hidden="0" customHeight="1">
      <x:c r="A30" s="7" t="n">
        <x:v>29</x:v>
      </x:c>
      <x:c r="B30" s="7" t="n">
        <x:v>46200</x:v>
      </x:c>
      <x:c r="C30" s="7" t="n">
        <x:v>100</x:v>
      </x:c>
      <x:c r="D30" s="7" t="n">
        <x:v>50</x:v>
      </x:c>
      <x:c r="E30" s="6" t="str"/>
    </x:row>
    <x:row r="31" ht="15" hidden="0" customHeight="1">
      <x:c r="A31" s="7" t="n">
        <x:v>30</x:v>
      </x:c>
      <x:c r="B31" s="7" t="n">
        <x:v>49300</x:v>
      </x:c>
      <x:c r="C31" s="7" t="n">
        <x:v>100</x:v>
      </x:c>
      <x:c r="D31" s="7" t="n">
        <x:v>50</x:v>
      </x:c>
      <x:c r="E31" s="6" t="str">
        <x:v>여기까지 승 493판</x:v>
      </x:c>
    </x:row>
    <x:row r="32" ht="15" hidden="0" customHeight="1">
      <x:c r="A32" s="7" t="n">
        <x:v>31</x:v>
      </x:c>
      <x:c r="B32" s="7" t="n">
        <x:v>52500</x:v>
      </x:c>
      <x:c r="C32" s="7" t="n">
        <x:v>100</x:v>
      </x:c>
      <x:c r="D32" s="7" t="n">
        <x:v>50</x:v>
      </x:c>
      <x:c r="E32" s="6" t="str"/>
    </x:row>
    <x:row r="33" ht="15" hidden="0" customHeight="1">
      <x:c r="A33" s="7" t="n">
        <x:v>32</x:v>
      </x:c>
      <x:c r="B33" s="7" t="n">
        <x:v>55800</x:v>
      </x:c>
      <x:c r="C33" s="7" t="n">
        <x:v>100</x:v>
      </x:c>
      <x:c r="D33" s="7" t="n">
        <x:v>50</x:v>
      </x:c>
      <x:c r="E33" s="6" t="str"/>
    </x:row>
    <x:row r="34" ht="15" hidden="0" customHeight="1">
      <x:c r="A34" s="7" t="n">
        <x:v>33</x:v>
      </x:c>
      <x:c r="B34" s="7" t="n">
        <x:v>59200</x:v>
      </x:c>
      <x:c r="C34" s="7" t="n">
        <x:v>100</x:v>
      </x:c>
      <x:c r="D34" s="7" t="n">
        <x:v>50</x:v>
      </x:c>
      <x:c r="E34" s="6" t="str"/>
    </x:row>
    <x:row r="35" ht="15" hidden="0" customHeight="1">
      <x:c r="A35" s="7" t="n">
        <x:v>34</x:v>
      </x:c>
      <x:c r="B35" s="7" t="n">
        <x:v>62700</x:v>
      </x:c>
      <x:c r="C35" s="7" t="n">
        <x:v>100</x:v>
      </x:c>
      <x:c r="D35" s="7" t="n">
        <x:v>50</x:v>
      </x:c>
      <x:c r="E35" s="6" t="str"/>
    </x:row>
    <x:row r="36" ht="15" hidden="0" customHeight="1">
      <x:c r="A36" s="7" t="n">
        <x:v>35</x:v>
      </x:c>
      <x:c r="B36" s="7" t="n">
        <x:v>66300</x:v>
      </x:c>
      <x:c r="C36" s="7" t="n">
        <x:v>100</x:v>
      </x:c>
      <x:c r="D36" s="7" t="n">
        <x:v>50</x:v>
      </x:c>
      <x:c r="E36" s="6" t="str"/>
    </x:row>
    <x:row r="37" ht="15" hidden="0" customHeight="1">
      <x:c r="A37" s="7" t="n">
        <x:v>36</x:v>
      </x:c>
      <x:c r="B37" s="7" t="n">
        <x:v>70000</x:v>
      </x:c>
      <x:c r="C37" s="7" t="n">
        <x:v>100</x:v>
      </x:c>
      <x:c r="D37" s="7" t="n">
        <x:v>50</x:v>
      </x:c>
      <x:c r="E37" s="6" t="str"/>
    </x:row>
    <x:row r="38" ht="15" hidden="0" customHeight="1">
      <x:c r="A38" s="7" t="n">
        <x:v>37</x:v>
      </x:c>
      <x:c r="B38" s="7" t="n">
        <x:v>73800</x:v>
      </x:c>
      <x:c r="C38" s="7" t="n">
        <x:v>100</x:v>
      </x:c>
      <x:c r="D38" s="7" t="n">
        <x:v>50</x:v>
      </x:c>
      <x:c r="E38" s="6" t="str"/>
    </x:row>
    <x:row r="39" ht="15" hidden="0" customHeight="1">
      <x:c r="A39" s="7" t="n">
        <x:v>38</x:v>
      </x:c>
      <x:c r="B39" s="7" t="n">
        <x:v>77700</x:v>
      </x:c>
      <x:c r="C39" s="7" t="n">
        <x:v>100</x:v>
      </x:c>
      <x:c r="D39" s="7" t="n">
        <x:v>50</x:v>
      </x:c>
      <x:c r="E39" s="6" t="str"/>
    </x:row>
    <x:row r="40" ht="15" hidden="0" customHeight="1">
      <x:c r="A40" s="7" t="n">
        <x:v>39</x:v>
      </x:c>
      <x:c r="B40" s="7" t="n">
        <x:v>81700</x:v>
      </x:c>
      <x:c r="C40" s="7" t="n">
        <x:v>100</x:v>
      </x:c>
      <x:c r="D40" s="7" t="n">
        <x:v>50</x:v>
      </x:c>
      <x:c r="E40" s="6" t="str"/>
    </x:row>
    <x:row r="41" ht="15" hidden="0" customHeight="1">
      <x:c r="A41" s="7" t="n">
        <x:v>40</x:v>
      </x:c>
      <x:c r="B41" s="7" t="n">
        <x:v>85800</x:v>
      </x:c>
      <x:c r="C41" s="7" t="n">
        <x:v>100</x:v>
      </x:c>
      <x:c r="D41" s="7" t="n">
        <x:v>50</x:v>
      </x:c>
      <x:c r="E41" s="6" t="str">
        <x:v>여기까지 승 858판</x:v>
      </x:c>
    </x:row>
    <x:row r="42" ht="15" hidden="0" customHeight="1">
      <x:c r="A42" s="7" t="n">
        <x:v>41</x:v>
      </x:c>
      <x:c r="B42" s="7" t="n">
        <x:v>90000</x:v>
      </x:c>
      <x:c r="C42" s="7" t="n">
        <x:v>100</x:v>
      </x:c>
      <x:c r="D42" s="7" t="n">
        <x:v>50</x:v>
      </x:c>
      <x:c r="E42" s="6" t="str"/>
    </x:row>
    <x:row r="43" ht="15" hidden="0" customHeight="1">
      <x:c r="A43" s="7" t="n">
        <x:v>42</x:v>
      </x:c>
      <x:c r="B43" s="7" t="n">
        <x:v>94300</x:v>
      </x:c>
      <x:c r="C43" s="7" t="n">
        <x:v>100</x:v>
      </x:c>
      <x:c r="D43" s="7" t="n">
        <x:v>50</x:v>
      </x:c>
      <x:c r="E43" s="6" t="str"/>
    </x:row>
    <x:row r="44" ht="15" hidden="0" customHeight="1">
      <x:c r="A44" s="7" t="n">
        <x:v>43</x:v>
      </x:c>
      <x:c r="B44" s="7" t="n">
        <x:v>98700</x:v>
      </x:c>
      <x:c r="C44" s="7" t="n">
        <x:v>100</x:v>
      </x:c>
      <x:c r="D44" s="7" t="n">
        <x:v>50</x:v>
      </x:c>
      <x:c r="E44" s="6" t="str"/>
    </x:row>
    <x:row r="45" ht="15" hidden="0" customHeight="1">
      <x:c r="A45" s="7" t="n">
        <x:v>44</x:v>
      </x:c>
      <x:c r="B45" s="7" t="n">
        <x:v>103200</x:v>
      </x:c>
      <x:c r="C45" s="7" t="n">
        <x:v>100</x:v>
      </x:c>
      <x:c r="D45" s="7" t="n">
        <x:v>50</x:v>
      </x:c>
      <x:c r="E45" s="6" t="str"/>
    </x:row>
    <x:row r="46" ht="15" hidden="0" customHeight="1">
      <x:c r="A46" s="7" t="n">
        <x:v>45</x:v>
      </x:c>
      <x:c r="B46" s="7" t="n">
        <x:v>107800</x:v>
      </x:c>
      <x:c r="C46" s="7" t="n">
        <x:v>100</x:v>
      </x:c>
      <x:c r="D46" s="7" t="n">
        <x:v>50</x:v>
      </x:c>
      <x:c r="E46" s="6" t="str"/>
    </x:row>
    <x:row r="47" ht="15" hidden="0" customHeight="1">
      <x:c r="A47" s="7" t="n">
        <x:v>46</x:v>
      </x:c>
      <x:c r="B47" s="7" t="n">
        <x:v>112500</x:v>
      </x:c>
      <x:c r="C47" s="7" t="n">
        <x:v>100</x:v>
      </x:c>
      <x:c r="D47" s="7" t="n">
        <x:v>50</x:v>
      </x:c>
      <x:c r="E47" s="6" t="str"/>
    </x:row>
    <x:row r="48" ht="15" hidden="0" customHeight="1">
      <x:c r="A48" s="7" t="n">
        <x:v>47</x:v>
      </x:c>
      <x:c r="B48" s="7" t="n">
        <x:v>117300</x:v>
      </x:c>
      <x:c r="C48" s="7" t="n">
        <x:v>100</x:v>
      </x:c>
      <x:c r="D48" s="7" t="n">
        <x:v>50</x:v>
      </x:c>
      <x:c r="E48" s="6" t="str"/>
    </x:row>
    <x:row r="49" ht="15" hidden="0" customHeight="1">
      <x:c r="A49" s="7" t="n">
        <x:v>48</x:v>
      </x:c>
      <x:c r="B49" s="7" t="n">
        <x:v>122200</x:v>
      </x:c>
      <x:c r="C49" s="7" t="n">
        <x:v>100</x:v>
      </x:c>
      <x:c r="D49" s="7" t="n">
        <x:v>50</x:v>
      </x:c>
      <x:c r="E49" s="6" t="str"/>
    </x:row>
    <x:row r="50" ht="15" hidden="0" customHeight="1">
      <x:c r="A50" s="7" t="n">
        <x:v>49</x:v>
      </x:c>
      <x:c r="B50" s="7" t="n">
        <x:v>127200</x:v>
      </x:c>
      <x:c r="C50" s="7" t="n">
        <x:v>100</x:v>
      </x:c>
      <x:c r="D50" s="7" t="n">
        <x:v>50</x:v>
      </x:c>
      <x:c r="E50" s="6" t="str">
        <x:v>한 레벨에 승 51판</x:v>
      </x:c>
    </x:row>
    <x:row r="51" ht="15" hidden="0" customHeight="1">
      <x:c r="A51" s="7" t="n">
        <x:v>50</x:v>
      </x:c>
      <x:c r="B51" s="7" t="n">
        <x:v>132300</x:v>
      </x:c>
      <x:c r="C51" s="7" t="n">
        <x:v>100</x:v>
      </x:c>
      <x:c r="D51" s="7" t="n">
        <x:v>50</x:v>
      </x:c>
      <x:c r="E51" s="6" t="str">
        <x:v>만렙</x:v>
      </x:c>
    </x:row>
    <x:row r="54">
      <x:c r="A54" t="str">
        <x:v>출처: docs/SpecData/AccountLevel_sheet.csv / 2026-09-18 로컬 스냅샷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26" hidden="0" customWidth="1"/>
    <x:col min="6" max="6" width="15" hidden="0" customWidth="1"/>
    <x:col min="7" max="7" width="26" hidden="0" customWidth="1"/>
    <x:col min="8" max="8" width="15" hidden="0" customWidth="1"/>
  </x:cols>
  <x:sheetData>
    <x:row r="1" ht="44" customHeight="1">
      <x:c r="A1" s="5" t="str">
        <x:v>id</x:v>
      </x:c>
      <x:c r="B1" s="5" t="str">
        <x:v>chapterId</x:v>
      </x:c>
      <x:c r="C1" s="5" t="str">
        <x:v>nodeId</x:v>
      </x:c>
      <x:c r="D1" s="5" t="str">
        <x:v>order</x:v>
      </x:c>
      <x:c r="E1" s="5" t="str">
        <x:v>prevNodeId</x:v>
      </x:c>
      <x:c r="F1" s="5" t="str">
        <x:v>requiredPoints</x:v>
      </x:c>
      <x:c r="G1" s="5" t="str">
        <x:v>aiDeckId</x:v>
      </x:c>
      <x:c r="H1" s="5" t="str">
        <x:v>aiCardLevel</x:v>
      </x:c>
    </x:row>
    <x:row r="2" ht="15" hidden="0" customHeight="1">
      <x:c r="A2" s="7" t="n">
        <x:v>1</x:v>
      </x:c>
      <x:c r="B2" s="6" t="str">
        <x:v>chapter_01</x:v>
      </x:c>
      <x:c r="C2" s="6" t="str">
        <x:v>node_01</x:v>
      </x:c>
      <x:c r="D2" s="7" t="n">
        <x:v>0</x:v>
      </x:c>
      <x:c r="E2" s="6" t="str"/>
      <x:c r="F2" s="7" t="n">
        <x:v>0</x:v>
      </x:c>
      <x:c r="G2" s="6" t="str">
        <x:v>adventure_node_01</x:v>
      </x:c>
      <x:c r="H2" s="7" t="n">
        <x:v>1</x:v>
      </x:c>
    </x:row>
    <x:row r="3" ht="15" hidden="0" customHeight="1">
      <x:c r="A3" s="7" t="n">
        <x:v>2</x:v>
      </x:c>
      <x:c r="B3" s="6" t="str">
        <x:v>chapter_01</x:v>
      </x:c>
      <x:c r="C3" s="6" t="str">
        <x:v>node_02</x:v>
      </x:c>
      <x:c r="D3" s="7" t="n">
        <x:v>1</x:v>
      </x:c>
      <x:c r="E3" s="6" t="str">
        <x:v>node_01</x:v>
      </x:c>
      <x:c r="F3" s="7" t="n">
        <x:v>0</x:v>
      </x:c>
      <x:c r="G3" s="6" t="str">
        <x:v>adventure_node_02</x:v>
      </x:c>
      <x:c r="H3" s="7" t="n">
        <x:v>2</x:v>
      </x:c>
    </x:row>
    <x:row r="4" ht="15" hidden="0" customHeight="1">
      <x:c r="A4" s="7" t="n">
        <x:v>3</x:v>
      </x:c>
      <x:c r="B4" s="6" t="str">
        <x:v>chapter_01</x:v>
      </x:c>
      <x:c r="C4" s="6" t="str">
        <x:v>node_03</x:v>
      </x:c>
      <x:c r="D4" s="7" t="n">
        <x:v>2</x:v>
      </x:c>
      <x:c r="E4" s="6" t="str">
        <x:v>node_02</x:v>
      </x:c>
      <x:c r="F4" s="7" t="n">
        <x:v>0</x:v>
      </x:c>
      <x:c r="G4" s="6" t="str">
        <x:v>adventure_node_03</x:v>
      </x:c>
      <x:c r="H4" s="7" t="n">
        <x:v>2</x:v>
      </x:c>
    </x:row>
    <x:row r="5" ht="15" hidden="0" customHeight="1">
      <x:c r="A5" s="7" t="n">
        <x:v>4</x:v>
      </x:c>
      <x:c r="B5" s="6" t="str">
        <x:v>chapter_01</x:v>
      </x:c>
      <x:c r="C5" s="6" t="str">
        <x:v>node_04</x:v>
      </x:c>
      <x:c r="D5" s="7" t="n">
        <x:v>3</x:v>
      </x:c>
      <x:c r="E5" s="6" t="str">
        <x:v>node_03</x:v>
      </x:c>
      <x:c r="F5" s="7" t="n">
        <x:v>0</x:v>
      </x:c>
      <x:c r="G5" s="6" t="str">
        <x:v>adventure_node_04</x:v>
      </x:c>
      <x:c r="H5" s="7" t="n">
        <x:v>3</x:v>
      </x:c>
    </x:row>
    <x:row r="6" ht="15" hidden="0" customHeight="1">
      <x:c r="A6" s="7" t="n">
        <x:v>5</x:v>
      </x:c>
      <x:c r="B6" s="6" t="str">
        <x:v>chapter_01</x:v>
      </x:c>
      <x:c r="C6" s="6" t="str">
        <x:v>node_05</x:v>
      </x:c>
      <x:c r="D6" s="7" t="n">
        <x:v>4</x:v>
      </x:c>
      <x:c r="E6" s="6" t="str">
        <x:v>node_04</x:v>
      </x:c>
      <x:c r="F6" s="7" t="n">
        <x:v>0</x:v>
      </x:c>
      <x:c r="G6" s="6" t="str">
        <x:v>adventure_node_05</x:v>
      </x:c>
      <x:c r="H6" s="7" t="n">
        <x:v>3</x:v>
      </x:c>
    </x:row>
    <x:row r="7" ht="15" hidden="0" customHeight="1">
      <x:c r="A7" s="7" t="n">
        <x:v>6</x:v>
      </x:c>
      <x:c r="B7" s="6" t="str">
        <x:v>chapter_01</x:v>
      </x:c>
      <x:c r="C7" s="6" t="str">
        <x:v>node_06</x:v>
      </x:c>
      <x:c r="D7" s="7" t="n">
        <x:v>5</x:v>
      </x:c>
      <x:c r="E7" s="6" t="str">
        <x:v>node_05</x:v>
      </x:c>
      <x:c r="F7" s="7" t="n">
        <x:v>0</x:v>
      </x:c>
      <x:c r="G7" s="6" t="str">
        <x:v>adventure_node_06</x:v>
      </x:c>
      <x:c r="H7" s="7" t="n">
        <x:v>3</x:v>
      </x:c>
    </x:row>
    <x:row r="8" ht="15" hidden="0" customHeight="1">
      <x:c r="A8" s="7" t="n">
        <x:v>7</x:v>
      </x:c>
      <x:c r="B8" s="6" t="str">
        <x:v>chapter_02</x:v>
      </x:c>
      <x:c r="C8" s="6" t="str">
        <x:v>node_07</x:v>
      </x:c>
      <x:c r="D8" s="7" t="n">
        <x:v>0</x:v>
      </x:c>
      <x:c r="E8" s="6" t="str">
        <x:v>node_06</x:v>
      </x:c>
      <x:c r="F8" s="7" t="n">
        <x:v>260</x:v>
      </x:c>
      <x:c r="G8" s="6" t="str">
        <x:v>adventure_node_07</x:v>
      </x:c>
      <x:c r="H8" s="7" t="n">
        <x:v>3</x:v>
      </x:c>
    </x:row>
    <x:row r="9" ht="15" hidden="0" customHeight="1">
      <x:c r="A9" s="7" t="n">
        <x:v>8</x:v>
      </x:c>
      <x:c r="B9" s="6" t="str">
        <x:v>chapter_02</x:v>
      </x:c>
      <x:c r="C9" s="6" t="str">
        <x:v>node_08</x:v>
      </x:c>
      <x:c r="D9" s="7" t="n">
        <x:v>1</x:v>
      </x:c>
      <x:c r="E9" s="6" t="str">
        <x:v>node_07</x:v>
      </x:c>
      <x:c r="F9" s="7" t="n">
        <x:v>260</x:v>
      </x:c>
      <x:c r="G9" s="6" t="str">
        <x:v>adventure_node_08</x:v>
      </x:c>
      <x:c r="H9" s="7" t="n">
        <x:v>3</x:v>
      </x:c>
    </x:row>
    <x:row r="10" ht="15" hidden="0" customHeight="1">
      <x:c r="A10" s="7" t="n">
        <x:v>9</x:v>
      </x:c>
      <x:c r="B10" s="6" t="str">
        <x:v>chapter_02</x:v>
      </x:c>
      <x:c r="C10" s="6" t="str">
        <x:v>node_09</x:v>
      </x:c>
      <x:c r="D10" s="7" t="n">
        <x:v>2</x:v>
      </x:c>
      <x:c r="E10" s="6" t="str">
        <x:v>node_08</x:v>
      </x:c>
      <x:c r="F10" s="7" t="n">
        <x:v>260</x:v>
      </x:c>
      <x:c r="G10" s="6" t="str">
        <x:v>adventure_node_09</x:v>
      </x:c>
      <x:c r="H10" s="7" t="n">
        <x:v>3</x:v>
      </x:c>
    </x:row>
    <x:row r="11" ht="15" hidden="0" customHeight="1">
      <x:c r="A11" s="7" t="n">
        <x:v>10</x:v>
      </x:c>
      <x:c r="B11" s="6" t="str">
        <x:v>chapter_02</x:v>
      </x:c>
      <x:c r="C11" s="6" t="str">
        <x:v>node_10</x:v>
      </x:c>
      <x:c r="D11" s="7" t="n">
        <x:v>3</x:v>
      </x:c>
      <x:c r="E11" s="6" t="str">
        <x:v>node_09</x:v>
      </x:c>
      <x:c r="F11" s="7" t="n">
        <x:v>260</x:v>
      </x:c>
      <x:c r="G11" s="6" t="str">
        <x:v>adventure_node_10</x:v>
      </x:c>
      <x:c r="H11" s="7" t="n">
        <x:v>3</x:v>
      </x:c>
    </x:row>
    <x:row r="12" ht="15" hidden="0" customHeight="1">
      <x:c r="A12" s="7" t="n">
        <x:v>11</x:v>
      </x:c>
      <x:c r="B12" s="6" t="str">
        <x:v>chapter_02</x:v>
      </x:c>
      <x:c r="C12" s="6" t="str">
        <x:v>node_11</x:v>
      </x:c>
      <x:c r="D12" s="7" t="n">
        <x:v>4</x:v>
      </x:c>
      <x:c r="E12" s="6" t="str">
        <x:v>node_10</x:v>
      </x:c>
      <x:c r="F12" s="7" t="n">
        <x:v>260</x:v>
      </x:c>
      <x:c r="G12" s="6" t="str">
        <x:v>adventure_node_11</x:v>
      </x:c>
      <x:c r="H12" s="7" t="n">
        <x:v>3</x:v>
      </x:c>
    </x:row>
    <x:row r="13" ht="15" hidden="0" customHeight="1">
      <x:c r="A13" s="7" t="n">
        <x:v>12</x:v>
      </x:c>
      <x:c r="B13" s="6" t="str">
        <x:v>chapter_02</x:v>
      </x:c>
      <x:c r="C13" s="6" t="str">
        <x:v>node_12</x:v>
      </x:c>
      <x:c r="D13" s="7" t="n">
        <x:v>5</x:v>
      </x:c>
      <x:c r="E13" s="6" t="str">
        <x:v>node_11</x:v>
      </x:c>
      <x:c r="F13" s="7" t="n">
        <x:v>260</x:v>
      </x:c>
      <x:c r="G13" s="6" t="str">
        <x:v>adventure_node_12</x:v>
      </x:c>
      <x:c r="H13" s="7" t="n">
        <x:v>3</x:v>
      </x:c>
    </x:row>
    <x:row r="14" ht="15" hidden="0" customHeight="1">
      <x:c r="A14" s="7" t="n">
        <x:v>13</x:v>
      </x:c>
      <x:c r="B14" s="6" t="str">
        <x:v>chapter_03</x:v>
      </x:c>
      <x:c r="C14" s="6" t="str">
        <x:v>node_13</x:v>
      </x:c>
      <x:c r="D14" s="7" t="n">
        <x:v>0</x:v>
      </x:c>
      <x:c r="E14" s="6" t="str">
        <x:v>node_12</x:v>
      </x:c>
      <x:c r="F14" s="7" t="n">
        <x:v>420</x:v>
      </x:c>
      <x:c r="G14" s="6" t="str">
        <x:v>adventure_node_13</x:v>
      </x:c>
      <x:c r="H14" s="7" t="n">
        <x:v>3</x:v>
      </x:c>
    </x:row>
    <x:row r="15" ht="15" hidden="0" customHeight="1">
      <x:c r="A15" s="7" t="n">
        <x:v>14</x:v>
      </x:c>
      <x:c r="B15" s="6" t="str">
        <x:v>chapter_03</x:v>
      </x:c>
      <x:c r="C15" s="6" t="str">
        <x:v>node_14</x:v>
      </x:c>
      <x:c r="D15" s="7" t="n">
        <x:v>1</x:v>
      </x:c>
      <x:c r="E15" s="6" t="str">
        <x:v>node_13</x:v>
      </x:c>
      <x:c r="F15" s="7" t="n">
        <x:v>420</x:v>
      </x:c>
      <x:c r="G15" s="6" t="str">
        <x:v>adventure_node_14</x:v>
      </x:c>
      <x:c r="H15" s="7" t="n">
        <x:v>3</x:v>
      </x:c>
    </x:row>
    <x:row r="16" ht="15" hidden="0" customHeight="1">
      <x:c r="A16" s="7" t="n">
        <x:v>15</x:v>
      </x:c>
      <x:c r="B16" s="6" t="str">
        <x:v>chapter_03</x:v>
      </x:c>
      <x:c r="C16" s="6" t="str">
        <x:v>node_15</x:v>
      </x:c>
      <x:c r="D16" s="7" t="n">
        <x:v>2</x:v>
      </x:c>
      <x:c r="E16" s="6" t="str">
        <x:v>node_14</x:v>
      </x:c>
      <x:c r="F16" s="7" t="n">
        <x:v>420</x:v>
      </x:c>
      <x:c r="G16" s="6" t="str">
        <x:v>adventure_node_15</x:v>
      </x:c>
      <x:c r="H16" s="7" t="n">
        <x:v>3</x:v>
      </x:c>
    </x:row>
    <x:row r="17" ht="15" hidden="0" customHeight="1">
      <x:c r="A17" s="7" t="n">
        <x:v>16</x:v>
      </x:c>
      <x:c r="B17" s="6" t="str">
        <x:v>chapter_03</x:v>
      </x:c>
      <x:c r="C17" s="6" t="str">
        <x:v>node_16</x:v>
      </x:c>
      <x:c r="D17" s="7" t="n">
        <x:v>3</x:v>
      </x:c>
      <x:c r="E17" s="6" t="str">
        <x:v>node_15</x:v>
      </x:c>
      <x:c r="F17" s="7" t="n">
        <x:v>420</x:v>
      </x:c>
      <x:c r="G17" s="6" t="str">
        <x:v>adventure_node_16</x:v>
      </x:c>
      <x:c r="H17" s="7" t="n">
        <x:v>3</x:v>
      </x:c>
    </x:row>
    <x:row r="18" ht="15" hidden="0" customHeight="1">
      <x:c r="A18" s="7" t="n">
        <x:v>17</x:v>
      </x:c>
      <x:c r="B18" s="6" t="str">
        <x:v>chapter_03</x:v>
      </x:c>
      <x:c r="C18" s="6" t="str">
        <x:v>node_17</x:v>
      </x:c>
      <x:c r="D18" s="7" t="n">
        <x:v>4</x:v>
      </x:c>
      <x:c r="E18" s="6" t="str">
        <x:v>node_16</x:v>
      </x:c>
      <x:c r="F18" s="7" t="n">
        <x:v>420</x:v>
      </x:c>
      <x:c r="G18" s="6" t="str">
        <x:v>adventure_node_17</x:v>
      </x:c>
      <x:c r="H18" s="7" t="n">
        <x:v>3</x:v>
      </x:c>
    </x:row>
    <x:row r="19" ht="15" hidden="0" customHeight="1">
      <x:c r="A19" s="7" t="n">
        <x:v>18</x:v>
      </x:c>
      <x:c r="B19" s="6" t="str">
        <x:v>chapter_03</x:v>
      </x:c>
      <x:c r="C19" s="6" t="str">
        <x:v>node_18</x:v>
      </x:c>
      <x:c r="D19" s="7" t="n">
        <x:v>5</x:v>
      </x:c>
      <x:c r="E19" s="6" t="str">
        <x:v>node_17</x:v>
      </x:c>
      <x:c r="F19" s="7" t="n">
        <x:v>420</x:v>
      </x:c>
      <x:c r="G19" s="6" t="str">
        <x:v>adventure_node_18</x:v>
      </x:c>
      <x:c r="H19" s="7" t="n">
        <x:v>3</x:v>
      </x:c>
    </x:row>
    <x:row r="20" ht="15" hidden="0" customHeight="1">
      <x:c r="A20" s="7" t="n">
        <x:v>19</x:v>
      </x:c>
      <x:c r="B20" s="6" t="str">
        <x:v>chapter_04</x:v>
      </x:c>
      <x:c r="C20" s="6" t="str">
        <x:v>node_19</x:v>
      </x:c>
      <x:c r="D20" s="7" t="n">
        <x:v>0</x:v>
      </x:c>
      <x:c r="E20" s="6" t="str">
        <x:v>node_18</x:v>
      </x:c>
      <x:c r="F20" s="7" t="n">
        <x:v>580</x:v>
      </x:c>
      <x:c r="G20" s="6" t="str">
        <x:v>adventure_node_19</x:v>
      </x:c>
      <x:c r="H20" s="7" t="n">
        <x:v>3</x:v>
      </x:c>
    </x:row>
    <x:row r="21" ht="15" hidden="0" customHeight="1">
      <x:c r="A21" s="7" t="n">
        <x:v>20</x:v>
      </x:c>
      <x:c r="B21" s="6" t="str">
        <x:v>chapter_04</x:v>
      </x:c>
      <x:c r="C21" s="6" t="str">
        <x:v>node_20</x:v>
      </x:c>
      <x:c r="D21" s="7" t="n">
        <x:v>1</x:v>
      </x:c>
      <x:c r="E21" s="6" t="str">
        <x:v>node_19</x:v>
      </x:c>
      <x:c r="F21" s="7" t="n">
        <x:v>580</x:v>
      </x:c>
      <x:c r="G21" s="6" t="str">
        <x:v>adventure_node_20</x:v>
      </x:c>
      <x:c r="H21" s="7" t="n">
        <x:v>3</x:v>
      </x:c>
    </x:row>
    <x:row r="22" ht="15" hidden="0" customHeight="1">
      <x:c r="A22" s="7" t="n">
        <x:v>21</x:v>
      </x:c>
      <x:c r="B22" s="6" t="str">
        <x:v>chapter_04</x:v>
      </x:c>
      <x:c r="C22" s="6" t="str">
        <x:v>node_21</x:v>
      </x:c>
      <x:c r="D22" s="7" t="n">
        <x:v>2</x:v>
      </x:c>
      <x:c r="E22" s="6" t="str">
        <x:v>node_20</x:v>
      </x:c>
      <x:c r="F22" s="7" t="n">
        <x:v>580</x:v>
      </x:c>
      <x:c r="G22" s="6" t="str">
        <x:v>adventure_node_21</x:v>
      </x:c>
      <x:c r="H22" s="7" t="n">
        <x:v>3</x:v>
      </x:c>
    </x:row>
    <x:row r="23" ht="15" hidden="0" customHeight="1">
      <x:c r="A23" s="7" t="n">
        <x:v>22</x:v>
      </x:c>
      <x:c r="B23" s="6" t="str">
        <x:v>chapter_04</x:v>
      </x:c>
      <x:c r="C23" s="6" t="str">
        <x:v>node_22</x:v>
      </x:c>
      <x:c r="D23" s="7" t="n">
        <x:v>3</x:v>
      </x:c>
      <x:c r="E23" s="6" t="str">
        <x:v>node_21</x:v>
      </x:c>
      <x:c r="F23" s="7" t="n">
        <x:v>580</x:v>
      </x:c>
      <x:c r="G23" s="6" t="str">
        <x:v>adventure_node_22</x:v>
      </x:c>
      <x:c r="H23" s="7" t="n">
        <x:v>3</x:v>
      </x:c>
    </x:row>
    <x:row r="24" ht="15" hidden="0" customHeight="1">
      <x:c r="A24" s="7" t="n">
        <x:v>23</x:v>
      </x:c>
      <x:c r="B24" s="6" t="str">
        <x:v>chapter_04</x:v>
      </x:c>
      <x:c r="C24" s="6" t="str">
        <x:v>node_23</x:v>
      </x:c>
      <x:c r="D24" s="7" t="n">
        <x:v>4</x:v>
      </x:c>
      <x:c r="E24" s="6" t="str">
        <x:v>node_22</x:v>
      </x:c>
      <x:c r="F24" s="7" t="n">
        <x:v>580</x:v>
      </x:c>
      <x:c r="G24" s="6" t="str">
        <x:v>adventure_node_23</x:v>
      </x:c>
      <x:c r="H24" s="7" t="n">
        <x:v>4</x:v>
      </x:c>
    </x:row>
    <x:row r="25" ht="15" hidden="0" customHeight="1">
      <x:c r="A25" s="7" t="n">
        <x:v>24</x:v>
      </x:c>
      <x:c r="B25" s="6" t="str">
        <x:v>chapter_04</x:v>
      </x:c>
      <x:c r="C25" s="6" t="str">
        <x:v>node_24</x:v>
      </x:c>
      <x:c r="D25" s="7" t="n">
        <x:v>5</x:v>
      </x:c>
      <x:c r="E25" s="6" t="str">
        <x:v>node_23</x:v>
      </x:c>
      <x:c r="F25" s="7" t="n">
        <x:v>580</x:v>
      </x:c>
      <x:c r="G25" s="6" t="str">
        <x:v>adventure_node_24</x:v>
      </x:c>
      <x:c r="H25" s="7" t="n">
        <x:v>4</x:v>
      </x:c>
    </x:row>
    <x:row r="28">
      <x:c r="A28" t="str">
        <x:v>출처: docs/SpecData/AdventureChapter_sheet.csv / 2026-09-18 로컬 스냅샷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44" customHeight="1">
      <x:c r="A1" s="5" t="str">
        <x:v>id</x:v>
      </x:c>
      <x:c r="B1" s="5" t="str">
        <x:v>ownerKey</x:v>
      </x:c>
      <x:c r="C1" s="5" t="str">
        <x:v>order</x:v>
      </x:c>
      <x:c r="D1" s="5" t="str">
        <x:v>currency</x:v>
      </x:c>
      <x:c r="E1" s="5" t="str">
        <x:v>amount</x:v>
      </x:c>
    </x:row>
    <x:row r="2" ht="15" hidden="0" customHeight="1">
      <x:c r="A2" s="7" t="n">
        <x:v>1</x:v>
      </x:c>
      <x:c r="B2" s="6" t="str">
        <x:v>node_01</x:v>
      </x:c>
      <x:c r="C2" s="7" t="n">
        <x:v>1</x:v>
      </x:c>
      <x:c r="D2" s="6" t="str">
        <x:v>Gold</x:v>
      </x:c>
      <x:c r="E2" s="7" t="n">
        <x:v>80</x:v>
      </x:c>
    </x:row>
    <x:row r="3" ht="15" hidden="0" customHeight="1">
      <x:c r="A3" s="7" t="n">
        <x:v>2</x:v>
      </x:c>
      <x:c r="B3" s="6" t="str">
        <x:v>node_02</x:v>
      </x:c>
      <x:c r="C3" s="7" t="n">
        <x:v>1</x:v>
      </x:c>
      <x:c r="D3" s="6" t="str">
        <x:v>Shard</x:v>
      </x:c>
      <x:c r="E3" s="7" t="n">
        <x:v>20</x:v>
      </x:c>
    </x:row>
    <x:row r="4" ht="15" hidden="0" customHeight="1">
      <x:c r="A4" s="7" t="n">
        <x:v>4</x:v>
      </x:c>
      <x:c r="B4" s="6" t="str">
        <x:v>node_04</x:v>
      </x:c>
      <x:c r="C4" s="7" t="n">
        <x:v>1</x:v>
      </x:c>
      <x:c r="D4" s="6" t="str">
        <x:v>Gold</x:v>
      </x:c>
      <x:c r="E4" s="7" t="n">
        <x:v>80</x:v>
      </x:c>
    </x:row>
    <x:row r="5" ht="15" hidden="0" customHeight="1">
      <x:c r="A5" s="7" t="n">
        <x:v>5</x:v>
      </x:c>
      <x:c r="B5" s="6" t="str">
        <x:v>node_05</x:v>
      </x:c>
      <x:c r="C5" s="7" t="n">
        <x:v>1</x:v>
      </x:c>
      <x:c r="D5" s="6" t="str">
        <x:v>Shard</x:v>
      </x:c>
      <x:c r="E5" s="7" t="n">
        <x:v>40</x:v>
      </x:c>
    </x:row>
    <x:row r="6" ht="15" hidden="0" customHeight="1">
      <x:c r="A6" s="7" t="n">
        <x:v>7</x:v>
      </x:c>
      <x:c r="B6" s="6" t="str">
        <x:v>chapter_01</x:v>
      </x:c>
      <x:c r="C6" s="7" t="n">
        <x:v>1</x:v>
      </x:c>
      <x:c r="D6" s="6" t="str">
        <x:v>Gold</x:v>
      </x:c>
      <x:c r="E6" s="7" t="n">
        <x:v>80</x:v>
      </x:c>
    </x:row>
    <x:row r="7" ht="15" hidden="0" customHeight="1">
      <x:c r="A7" s="7" t="n">
        <x:v>9</x:v>
      </x:c>
      <x:c r="B7" s="6" t="str">
        <x:v>node_07</x:v>
      </x:c>
      <x:c r="C7" s="7" t="n">
        <x:v>1</x:v>
      </x:c>
      <x:c r="D7" s="6" t="str">
        <x:v>Gold</x:v>
      </x:c>
      <x:c r="E7" s="7" t="n">
        <x:v>110</x:v>
      </x:c>
    </x:row>
    <x:row r="8" ht="15" hidden="0" customHeight="1">
      <x:c r="A8" s="7" t="n">
        <x:v>10</x:v>
      </x:c>
      <x:c r="B8" s="6" t="str">
        <x:v>node_08</x:v>
      </x:c>
      <x:c r="C8" s="7" t="n">
        <x:v>1</x:v>
      </x:c>
      <x:c r="D8" s="6" t="str">
        <x:v>Shard</x:v>
      </x:c>
      <x:c r="E8" s="7" t="n">
        <x:v>30</x:v>
      </x:c>
    </x:row>
    <x:row r="9" ht="15" hidden="0" customHeight="1">
      <x:c r="A9" s="7" t="n">
        <x:v>12</x:v>
      </x:c>
      <x:c r="B9" s="6" t="str">
        <x:v>node_10</x:v>
      </x:c>
      <x:c r="C9" s="7" t="n">
        <x:v>1</x:v>
      </x:c>
      <x:c r="D9" s="6" t="str">
        <x:v>Gold</x:v>
      </x:c>
      <x:c r="E9" s="7" t="n">
        <x:v>110</x:v>
      </x:c>
    </x:row>
    <x:row r="10" ht="15" hidden="0" customHeight="1">
      <x:c r="A10" s="7" t="n">
        <x:v>13</x:v>
      </x:c>
      <x:c r="B10" s="6" t="str">
        <x:v>node_11</x:v>
      </x:c>
      <x:c r="C10" s="7" t="n">
        <x:v>1</x:v>
      </x:c>
      <x:c r="D10" s="6" t="str">
        <x:v>Shard</x:v>
      </x:c>
      <x:c r="E10" s="7" t="n">
        <x:v>50</x:v>
      </x:c>
    </x:row>
    <x:row r="11" ht="15" hidden="0" customHeight="1">
      <x:c r="A11" s="7" t="n">
        <x:v>15</x:v>
      </x:c>
      <x:c r="B11" s="6" t="str">
        <x:v>chapter_02</x:v>
      </x:c>
      <x:c r="C11" s="7" t="n">
        <x:v>1</x:v>
      </x:c>
      <x:c r="D11" s="6" t="str">
        <x:v>Gold</x:v>
      </x:c>
      <x:c r="E11" s="7" t="n">
        <x:v>110</x:v>
      </x:c>
    </x:row>
    <x:row r="12" ht="15" hidden="0" customHeight="1">
      <x:c r="A12" s="7" t="n">
        <x:v>17</x:v>
      </x:c>
      <x:c r="B12" s="6" t="str">
        <x:v>node_13</x:v>
      </x:c>
      <x:c r="C12" s="7" t="n">
        <x:v>1</x:v>
      </x:c>
      <x:c r="D12" s="6" t="str">
        <x:v>Gold</x:v>
      </x:c>
      <x:c r="E12" s="7" t="n">
        <x:v>140</x:v>
      </x:c>
    </x:row>
    <x:row r="13" ht="15" hidden="0" customHeight="1">
      <x:c r="A13" s="7" t="n">
        <x:v>18</x:v>
      </x:c>
      <x:c r="B13" s="6" t="str">
        <x:v>node_14</x:v>
      </x:c>
      <x:c r="C13" s="7" t="n">
        <x:v>1</x:v>
      </x:c>
      <x:c r="D13" s="6" t="str">
        <x:v>Shard</x:v>
      </x:c>
      <x:c r="E13" s="7" t="n">
        <x:v>40</x:v>
      </x:c>
    </x:row>
    <x:row r="14" ht="15" hidden="0" customHeight="1">
      <x:c r="A14" s="7" t="n">
        <x:v>20</x:v>
      </x:c>
      <x:c r="B14" s="6" t="str">
        <x:v>node_16</x:v>
      </x:c>
      <x:c r="C14" s="7" t="n">
        <x:v>1</x:v>
      </x:c>
      <x:c r="D14" s="6" t="str">
        <x:v>Gold</x:v>
      </x:c>
      <x:c r="E14" s="7" t="n">
        <x:v>140</x:v>
      </x:c>
    </x:row>
    <x:row r="15" ht="15" hidden="0" customHeight="1">
      <x:c r="A15" s="7" t="n">
        <x:v>21</x:v>
      </x:c>
      <x:c r="B15" s="6" t="str">
        <x:v>node_17</x:v>
      </x:c>
      <x:c r="C15" s="7" t="n">
        <x:v>1</x:v>
      </x:c>
      <x:c r="D15" s="6" t="str">
        <x:v>Shard</x:v>
      </x:c>
      <x:c r="E15" s="7" t="n">
        <x:v>60</x:v>
      </x:c>
    </x:row>
    <x:row r="16" ht="15" hidden="0" customHeight="1">
      <x:c r="A16" s="7" t="n">
        <x:v>23</x:v>
      </x:c>
      <x:c r="B16" s="6" t="str">
        <x:v>chapter_03</x:v>
      </x:c>
      <x:c r="C16" s="7" t="n">
        <x:v>1</x:v>
      </x:c>
      <x:c r="D16" s="6" t="str">
        <x:v>Gold</x:v>
      </x:c>
      <x:c r="E16" s="7" t="n">
        <x:v>140</x:v>
      </x:c>
    </x:row>
    <x:row r="17" ht="15" hidden="0" customHeight="1">
      <x:c r="A17" s="7" t="n">
        <x:v>25</x:v>
      </x:c>
      <x:c r="B17" s="6" t="str">
        <x:v>node_19</x:v>
      </x:c>
      <x:c r="C17" s="7" t="n">
        <x:v>1</x:v>
      </x:c>
      <x:c r="D17" s="6" t="str">
        <x:v>Gold</x:v>
      </x:c>
      <x:c r="E17" s="7" t="n">
        <x:v>170</x:v>
      </x:c>
    </x:row>
    <x:row r="18" ht="15" hidden="0" customHeight="1">
      <x:c r="A18" s="7" t="n">
        <x:v>26</x:v>
      </x:c>
      <x:c r="B18" s="6" t="str">
        <x:v>node_20</x:v>
      </x:c>
      <x:c r="C18" s="7" t="n">
        <x:v>1</x:v>
      </x:c>
      <x:c r="D18" s="6" t="str">
        <x:v>Shard</x:v>
      </x:c>
      <x:c r="E18" s="7" t="n">
        <x:v>50</x:v>
      </x:c>
    </x:row>
    <x:row r="19" ht="15" hidden="0" customHeight="1">
      <x:c r="A19" s="7" t="n">
        <x:v>28</x:v>
      </x:c>
      <x:c r="B19" s="6" t="str">
        <x:v>node_22</x:v>
      </x:c>
      <x:c r="C19" s="7" t="n">
        <x:v>1</x:v>
      </x:c>
      <x:c r="D19" s="6" t="str">
        <x:v>Gold</x:v>
      </x:c>
      <x:c r="E19" s="7" t="n">
        <x:v>170</x:v>
      </x:c>
    </x:row>
    <x:row r="20" ht="15" hidden="0" customHeight="1">
      <x:c r="A20" s="7" t="n">
        <x:v>29</x:v>
      </x:c>
      <x:c r="B20" s="6" t="str">
        <x:v>node_23</x:v>
      </x:c>
      <x:c r="C20" s="7" t="n">
        <x:v>1</x:v>
      </x:c>
      <x:c r="D20" s="6" t="str">
        <x:v>Shard</x:v>
      </x:c>
      <x:c r="E20" s="7" t="n">
        <x:v>70</x:v>
      </x:c>
    </x:row>
    <x:row r="21" ht="15" hidden="0" customHeight="1">
      <x:c r="A21" s="7" t="n">
        <x:v>31</x:v>
      </x:c>
      <x:c r="B21" s="6" t="str">
        <x:v>chapter_04</x:v>
      </x:c>
      <x:c r="C21" s="7" t="n">
        <x:v>1</x:v>
      </x:c>
      <x:c r="D21" s="6" t="str">
        <x:v>Gold</x:v>
      </x:c>
      <x:c r="E21" s="7" t="n">
        <x:v>170</x:v>
      </x:c>
    </x:row>
    <x:row r="22" ht="15" hidden="0" customHeight="1">
      <x:c r="A22" s="7" t="n">
        <x:v>33</x:v>
      </x:c>
      <x:c r="B22" s="6" t="str">
        <x:v>node_01</x:v>
      </x:c>
      <x:c r="C22" s="7" t="n">
        <x:v>2</x:v>
      </x:c>
      <x:c r="D22" s="6" t="str">
        <x:v>Shard</x:v>
      </x:c>
      <x:c r="E22" s="7" t="n">
        <x:v>20</x:v>
      </x:c>
    </x:row>
    <x:row r="23" ht="15" hidden="0" customHeight="1">
      <x:c r="A23" s="7" t="n">
        <x:v>34</x:v>
      </x:c>
      <x:c r="B23" s="6" t="str">
        <x:v>node_03</x:v>
      </x:c>
      <x:c r="C23" s="7" t="n">
        <x:v>2</x:v>
      </x:c>
      <x:c r="D23" s="6" t="str">
        <x:v>Shard</x:v>
      </x:c>
      <x:c r="E23" s="7" t="n">
        <x:v>20</x:v>
      </x:c>
    </x:row>
    <x:row r="24" ht="15" hidden="0" customHeight="1">
      <x:c r="A24" s="7" t="n">
        <x:v>35</x:v>
      </x:c>
      <x:c r="B24" s="6" t="str">
        <x:v>node_04</x:v>
      </x:c>
      <x:c r="C24" s="7" t="n">
        <x:v>2</x:v>
      </x:c>
      <x:c r="D24" s="6" t="str">
        <x:v>Shard</x:v>
      </x:c>
      <x:c r="E24" s="7" t="n">
        <x:v>50</x:v>
      </x:c>
    </x:row>
    <x:row r="25" ht="15" hidden="0" customHeight="1">
      <x:c r="A25" s="7" t="n">
        <x:v>36</x:v>
      </x:c>
      <x:c r="B25" s="6" t="str">
        <x:v>node_06</x:v>
      </x:c>
      <x:c r="C25" s="7" t="n">
        <x:v>1</x:v>
      </x:c>
      <x:c r="D25" s="6" t="str">
        <x:v>Shard</x:v>
      </x:c>
      <x:c r="E25" s="7" t="n">
        <x:v>30</x:v>
      </x:c>
    </x:row>
    <x:row r="26" ht="15" hidden="0" customHeight="1">
      <x:c r="A26" s="7" t="n">
        <x:v>37</x:v>
      </x:c>
      <x:c r="B26" s="6" t="str">
        <x:v>chapter_01</x:v>
      </x:c>
      <x:c r="C26" s="7" t="n">
        <x:v>2</x:v>
      </x:c>
      <x:c r="D26" s="6" t="str">
        <x:v>Diamond</x:v>
      </x:c>
      <x:c r="E26" s="7" t="n">
        <x:v>10</x:v>
      </x:c>
    </x:row>
    <x:row r="27" ht="15" hidden="0" customHeight="1">
      <x:c r="A27" s="7" t="n">
        <x:v>38</x:v>
      </x:c>
      <x:c r="B27" s="6" t="str">
        <x:v>node_07</x:v>
      </x:c>
      <x:c r="C27" s="7" t="n">
        <x:v>2</x:v>
      </x:c>
      <x:c r="D27" s="6" t="str">
        <x:v>Shard</x:v>
      </x:c>
      <x:c r="E27" s="7" t="n">
        <x:v>30</x:v>
      </x:c>
    </x:row>
    <x:row r="28" ht="15" hidden="0" customHeight="1">
      <x:c r="A28" s="7" t="n">
        <x:v>39</x:v>
      </x:c>
      <x:c r="B28" s="6" t="str">
        <x:v>node_09</x:v>
      </x:c>
      <x:c r="C28" s="7" t="n">
        <x:v>2</x:v>
      </x:c>
      <x:c r="D28" s="6" t="str">
        <x:v>Shard</x:v>
      </x:c>
      <x:c r="E28" s="7" t="n">
        <x:v>30</x:v>
      </x:c>
    </x:row>
    <x:row r="29" ht="15" hidden="0" customHeight="1">
      <x:c r="A29" s="7" t="n">
        <x:v>40</x:v>
      </x:c>
      <x:c r="B29" s="6" t="str">
        <x:v>node_10</x:v>
      </x:c>
      <x:c r="C29" s="7" t="n">
        <x:v>2</x:v>
      </x:c>
      <x:c r="D29" s="6" t="str">
        <x:v>Shard</x:v>
      </x:c>
      <x:c r="E29" s="7" t="n">
        <x:v>50</x:v>
      </x:c>
    </x:row>
    <x:row r="30" ht="15" hidden="0" customHeight="1">
      <x:c r="A30" s="7" t="n">
        <x:v>41</x:v>
      </x:c>
      <x:c r="B30" s="6" t="str">
        <x:v>node_12</x:v>
      </x:c>
      <x:c r="C30" s="7" t="n">
        <x:v>1</x:v>
      </x:c>
      <x:c r="D30" s="6" t="str">
        <x:v>Shard</x:v>
      </x:c>
      <x:c r="E30" s="7" t="n">
        <x:v>40</x:v>
      </x:c>
    </x:row>
    <x:row r="31" ht="15" hidden="0" customHeight="1">
      <x:c r="A31" s="7" t="n">
        <x:v>42</x:v>
      </x:c>
      <x:c r="B31" s="6" t="str">
        <x:v>chapter_02</x:v>
      </x:c>
      <x:c r="C31" s="7" t="n">
        <x:v>2</x:v>
      </x:c>
      <x:c r="D31" s="6" t="str">
        <x:v>Diamond</x:v>
      </x:c>
      <x:c r="E31" s="7" t="n">
        <x:v>15</x:v>
      </x:c>
    </x:row>
    <x:row r="32" ht="15" hidden="0" customHeight="1">
      <x:c r="A32" s="7" t="n">
        <x:v>43</x:v>
      </x:c>
      <x:c r="B32" s="6" t="str">
        <x:v>node_13</x:v>
      </x:c>
      <x:c r="C32" s="7" t="n">
        <x:v>2</x:v>
      </x:c>
      <x:c r="D32" s="6" t="str">
        <x:v>Shard</x:v>
      </x:c>
      <x:c r="E32" s="7" t="n">
        <x:v>40</x:v>
      </x:c>
    </x:row>
    <x:row r="33" ht="15" hidden="0" customHeight="1">
      <x:c r="A33" s="7" t="n">
        <x:v>44</x:v>
      </x:c>
      <x:c r="B33" s="6" t="str">
        <x:v>node_15</x:v>
      </x:c>
      <x:c r="C33" s="7" t="n">
        <x:v>2</x:v>
      </x:c>
      <x:c r="D33" s="6" t="str">
        <x:v>Shard</x:v>
      </x:c>
      <x:c r="E33" s="7" t="n">
        <x:v>40</x:v>
      </x:c>
    </x:row>
    <x:row r="34" ht="15" hidden="0" customHeight="1">
      <x:c r="A34" s="7" t="n">
        <x:v>45</x:v>
      </x:c>
      <x:c r="B34" s="6" t="str">
        <x:v>node_16</x:v>
      </x:c>
      <x:c r="C34" s="7" t="n">
        <x:v>2</x:v>
      </x:c>
      <x:c r="D34" s="6" t="str">
        <x:v>Shard</x:v>
      </x:c>
      <x:c r="E34" s="7" t="n">
        <x:v>60</x:v>
      </x:c>
    </x:row>
    <x:row r="35" ht="15" hidden="0" customHeight="1">
      <x:c r="A35" s="7" t="n">
        <x:v>46</x:v>
      </x:c>
      <x:c r="B35" s="6" t="str">
        <x:v>node_18</x:v>
      </x:c>
      <x:c r="C35" s="7" t="n">
        <x:v>1</x:v>
      </x:c>
      <x:c r="D35" s="6" t="str">
        <x:v>Shard</x:v>
      </x:c>
      <x:c r="E35" s="7" t="n">
        <x:v>50</x:v>
      </x:c>
    </x:row>
    <x:row r="36" ht="15" hidden="0" customHeight="1">
      <x:c r="A36" s="7" t="n">
        <x:v>47</x:v>
      </x:c>
      <x:c r="B36" s="6" t="str">
        <x:v>chapter_03</x:v>
      </x:c>
      <x:c r="C36" s="7" t="n">
        <x:v>2</x:v>
      </x:c>
      <x:c r="D36" s="6" t="str">
        <x:v>Diamond</x:v>
      </x:c>
      <x:c r="E36" s="7" t="n">
        <x:v>20</x:v>
      </x:c>
    </x:row>
    <x:row r="37" ht="15" hidden="0" customHeight="1">
      <x:c r="A37" s="7" t="n">
        <x:v>48</x:v>
      </x:c>
      <x:c r="B37" s="6" t="str">
        <x:v>node_19</x:v>
      </x:c>
      <x:c r="C37" s="7" t="n">
        <x:v>2</x:v>
      </x:c>
      <x:c r="D37" s="6" t="str">
        <x:v>Shard</x:v>
      </x:c>
      <x:c r="E37" s="7" t="n">
        <x:v>50</x:v>
      </x:c>
    </x:row>
    <x:row r="38" ht="15" hidden="0" customHeight="1">
      <x:c r="A38" s="7" t="n">
        <x:v>49</x:v>
      </x:c>
      <x:c r="B38" s="6" t="str">
        <x:v>node_21</x:v>
      </x:c>
      <x:c r="C38" s="7" t="n">
        <x:v>2</x:v>
      </x:c>
      <x:c r="D38" s="6" t="str">
        <x:v>Shard</x:v>
      </x:c>
      <x:c r="E38" s="7" t="n">
        <x:v>50</x:v>
      </x:c>
    </x:row>
    <x:row r="39" ht="15" hidden="0" customHeight="1">
      <x:c r="A39" s="7" t="n">
        <x:v>50</x:v>
      </x:c>
      <x:c r="B39" s="6" t="str">
        <x:v>node_22</x:v>
      </x:c>
      <x:c r="C39" s="7" t="n">
        <x:v>2</x:v>
      </x:c>
      <x:c r="D39" s="6" t="str">
        <x:v>Shard</x:v>
      </x:c>
      <x:c r="E39" s="7" t="n">
        <x:v>70</x:v>
      </x:c>
    </x:row>
    <x:row r="40" ht="15" hidden="0" customHeight="1">
      <x:c r="A40" s="7" t="n">
        <x:v>51</x:v>
      </x:c>
      <x:c r="B40" s="6" t="str">
        <x:v>node_24</x:v>
      </x:c>
      <x:c r="C40" s="7" t="n">
        <x:v>1</x:v>
      </x:c>
      <x:c r="D40" s="6" t="str">
        <x:v>Shard</x:v>
      </x:c>
      <x:c r="E40" s="7" t="n">
        <x:v>60</x:v>
      </x:c>
    </x:row>
    <x:row r="41" ht="15" hidden="0" customHeight="1">
      <x:c r="A41" s="7" t="n">
        <x:v>52</x:v>
      </x:c>
      <x:c r="B41" s="6" t="str">
        <x:v>chapter_04</x:v>
      </x:c>
      <x:c r="C41" s="7" t="n">
        <x:v>2</x:v>
      </x:c>
      <x:c r="D41" s="6" t="str">
        <x:v>Diamond</x:v>
      </x:c>
      <x:c r="E41" s="7" t="n">
        <x:v>30</x:v>
      </x:c>
    </x:row>
    <x:row r="44">
      <x:c r="A44" t="str">
        <x:v>출처: docs/SpecData/AdventureReward_sheet.csv / 2026-09-18 로컬 스냅샷</x:v>
      </x:c>
    </x:row>
    <x:row r="45">
      <x:c r="A45" t="str">
        <x:v>퇴역 표. 계산에 사용하지 않음.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26" hidden="0" customWidth="1"/>
    <x:col min="5" max="5" width="26" hidden="0" customWidth="1"/>
  </x:cols>
  <x:sheetData>
    <x:row r="1" ht="44" customHeight="1">
      <x:c r="A1" s="5" t="str">
        <x:v>id</x:v>
      </x:c>
      <x:c r="B1" s="5" t="str">
        <x:v>deckId</x:v>
      </x:c>
      <x:c r="C1" s="5" t="str">
        <x:v>slot</x:v>
      </x:c>
      <x:c r="D1" s="5" t="str">
        <x:v>cardId</x:v>
      </x:c>
      <x:c r="E1" s="5" t="str">
        <x:v>#cardName</x:v>
      </x:c>
    </x:row>
    <x:row r="2" ht="15" hidden="0" customHeight="1">
      <x:c r="A2" s="7" t="n">
        <x:v>1</x:v>
      </x:c>
      <x:c r="B2" s="6" t="str">
        <x:v>deck_01</x:v>
      </x:c>
      <x:c r="C2" s="7" t="n">
        <x:v>0</x:v>
      </x:c>
      <x:c r="D2" s="7" t="n">
        <x:v>17</x:v>
      </x:c>
      <x:c r="E2" s="6" t="str"/>
    </x:row>
    <x:row r="3" ht="15" hidden="0" customHeight="1">
      <x:c r="A3" s="7" t="n">
        <x:v>2</x:v>
      </x:c>
      <x:c r="B3" s="6" t="str">
        <x:v>deck_01</x:v>
      </x:c>
      <x:c r="C3" s="7" t="n">
        <x:v>1</x:v>
      </x:c>
      <x:c r="D3" s="7" t="n">
        <x:v>18</x:v>
      </x:c>
      <x:c r="E3" s="6" t="str"/>
    </x:row>
    <x:row r="4" ht="15" hidden="0" customHeight="1">
      <x:c r="A4" s="7" t="n">
        <x:v>3</x:v>
      </x:c>
      <x:c r="B4" s="6" t="str">
        <x:v>deck_01</x:v>
      </x:c>
      <x:c r="C4" s="7" t="n">
        <x:v>2</x:v>
      </x:c>
      <x:c r="D4" s="7" t="n">
        <x:v>19</x:v>
      </x:c>
      <x:c r="E4" s="6" t="str"/>
    </x:row>
    <x:row r="5" ht="15" hidden="0" customHeight="1">
      <x:c r="A5" s="7" t="n">
        <x:v>4</x:v>
      </x:c>
      <x:c r="B5" s="6" t="str">
        <x:v>deck_01</x:v>
      </x:c>
      <x:c r="C5" s="7" t="n">
        <x:v>3</x:v>
      </x:c>
      <x:c r="D5" s="7" t="n">
        <x:v>20</x:v>
      </x:c>
      <x:c r="E5" s="6" t="str"/>
    </x:row>
    <x:row r="6" ht="15" hidden="0" customHeight="1">
      <x:c r="A6" s="7" t="n">
        <x:v>5</x:v>
      </x:c>
      <x:c r="B6" s="6" t="str">
        <x:v>deck_01</x:v>
      </x:c>
      <x:c r="C6" s="7" t="n">
        <x:v>4</x:v>
      </x:c>
      <x:c r="D6" s="7" t="n">
        <x:v>13</x:v>
      </x:c>
      <x:c r="E6" s="6" t="str"/>
    </x:row>
    <x:row r="7" ht="15" hidden="0" customHeight="1">
      <x:c r="A7" s="7" t="n">
        <x:v>6</x:v>
      </x:c>
      <x:c r="B7" s="6" t="str">
        <x:v>deck_01</x:v>
      </x:c>
      <x:c r="C7" s="7" t="n">
        <x:v>5</x:v>
      </x:c>
      <x:c r="D7" s="7" t="n">
        <x:v>14</x:v>
      </x:c>
      <x:c r="E7" s="6" t="str"/>
    </x:row>
    <x:row r="8" ht="15" hidden="0" customHeight="1">
      <x:c r="A8" s="7" t="n">
        <x:v>7</x:v>
      </x:c>
      <x:c r="B8" s="6" t="str">
        <x:v>deck_02</x:v>
      </x:c>
      <x:c r="C8" s="7" t="n">
        <x:v>0</x:v>
      </x:c>
      <x:c r="D8" s="7" t="n">
        <x:v>17</x:v>
      </x:c>
      <x:c r="E8" s="6" t="str"/>
    </x:row>
    <x:row r="9" ht="15" hidden="0" customHeight="1">
      <x:c r="A9" s="7" t="n">
        <x:v>8</x:v>
      </x:c>
      <x:c r="B9" s="6" t="str">
        <x:v>deck_02</x:v>
      </x:c>
      <x:c r="C9" s="7" t="n">
        <x:v>1</x:v>
      </x:c>
      <x:c r="D9" s="7" t="n">
        <x:v>18</x:v>
      </x:c>
      <x:c r="E9" s="6" t="str"/>
    </x:row>
    <x:row r="10" ht="15" hidden="0" customHeight="1">
      <x:c r="A10" s="7" t="n">
        <x:v>9</x:v>
      </x:c>
      <x:c r="B10" s="6" t="str">
        <x:v>deck_02</x:v>
      </x:c>
      <x:c r="C10" s="7" t="n">
        <x:v>2</x:v>
      </x:c>
      <x:c r="D10" s="7" t="n">
        <x:v>19</x:v>
      </x:c>
      <x:c r="E10" s="6" t="str"/>
    </x:row>
    <x:row r="11" ht="15" hidden="0" customHeight="1">
      <x:c r="A11" s="7" t="n">
        <x:v>10</x:v>
      </x:c>
      <x:c r="B11" s="6" t="str">
        <x:v>deck_02</x:v>
      </x:c>
      <x:c r="C11" s="7" t="n">
        <x:v>3</x:v>
      </x:c>
      <x:c r="D11" s="7" t="n">
        <x:v>20</x:v>
      </x:c>
      <x:c r="E11" s="6" t="str"/>
    </x:row>
    <x:row r="12" ht="15" hidden="0" customHeight="1">
      <x:c r="A12" s="7" t="n">
        <x:v>11</x:v>
      </x:c>
      <x:c r="B12" s="6" t="str">
        <x:v>deck_02</x:v>
      </x:c>
      <x:c r="C12" s="7" t="n">
        <x:v>4</x:v>
      </x:c>
      <x:c r="D12" s="7" t="n">
        <x:v>21</x:v>
      </x:c>
      <x:c r="E12" s="6" t="str"/>
    </x:row>
    <x:row r="13" ht="15" hidden="0" customHeight="1">
      <x:c r="A13" s="7" t="n">
        <x:v>12</x:v>
      </x:c>
      <x:c r="B13" s="6" t="str">
        <x:v>deck_02</x:v>
      </x:c>
      <x:c r="C13" s="7" t="n">
        <x:v>5</x:v>
      </x:c>
      <x:c r="D13" s="7" t="n">
        <x:v>22</x:v>
      </x:c>
      <x:c r="E13" s="6" t="str"/>
    </x:row>
    <x:row r="14" ht="15" hidden="0" customHeight="1">
      <x:c r="A14" s="7" t="n">
        <x:v>13</x:v>
      </x:c>
      <x:c r="B14" s="6" t="str">
        <x:v>deck_03</x:v>
      </x:c>
      <x:c r="C14" s="7" t="n">
        <x:v>0</x:v>
      </x:c>
      <x:c r="D14" s="7" t="n">
        <x:v>1</x:v>
      </x:c>
      <x:c r="E14" s="6" t="str"/>
    </x:row>
    <x:row r="15" ht="15" hidden="0" customHeight="1">
      <x:c r="A15" s="7" t="n">
        <x:v>14</x:v>
      </x:c>
      <x:c r="B15" s="6" t="str">
        <x:v>deck_03</x:v>
      </x:c>
      <x:c r="C15" s="7" t="n">
        <x:v>1</x:v>
      </x:c>
      <x:c r="D15" s="7" t="n">
        <x:v>2</x:v>
      </x:c>
      <x:c r="E15" s="6" t="str"/>
    </x:row>
    <x:row r="16" ht="15" hidden="0" customHeight="1">
      <x:c r="A16" s="7" t="n">
        <x:v>15</x:v>
      </x:c>
      <x:c r="B16" s="6" t="str">
        <x:v>deck_03</x:v>
      </x:c>
      <x:c r="C16" s="7" t="n">
        <x:v>2</x:v>
      </x:c>
      <x:c r="D16" s="7" t="n">
        <x:v>3</x:v>
      </x:c>
      <x:c r="E16" s="6" t="str"/>
    </x:row>
    <x:row r="17" ht="15" hidden="0" customHeight="1">
      <x:c r="A17" s="7" t="n">
        <x:v>16</x:v>
      </x:c>
      <x:c r="B17" s="6" t="str">
        <x:v>deck_03</x:v>
      </x:c>
      <x:c r="C17" s="7" t="n">
        <x:v>3</x:v>
      </x:c>
      <x:c r="D17" s="7" t="n">
        <x:v>4</x:v>
      </x:c>
      <x:c r="E17" s="6" t="str"/>
    </x:row>
    <x:row r="18" ht="15" hidden="0" customHeight="1">
      <x:c r="A18" s="7" t="n">
        <x:v>17</x:v>
      </x:c>
      <x:c r="B18" s="6" t="str">
        <x:v>deck_03</x:v>
      </x:c>
      <x:c r="C18" s="7" t="n">
        <x:v>4</x:v>
      </x:c>
      <x:c r="D18" s="7" t="n">
        <x:v>11</x:v>
      </x:c>
      <x:c r="E18" s="6" t="str"/>
    </x:row>
    <x:row r="19" ht="15" hidden="0" customHeight="1">
      <x:c r="A19" s="7" t="n">
        <x:v>18</x:v>
      </x:c>
      <x:c r="B19" s="6" t="str">
        <x:v>deck_03</x:v>
      </x:c>
      <x:c r="C19" s="7" t="n">
        <x:v>5</x:v>
      </x:c>
      <x:c r="D19" s="7" t="n">
        <x:v>12</x:v>
      </x:c>
      <x:c r="E19" s="6" t="str"/>
    </x:row>
    <x:row r="20" ht="15" hidden="0" customHeight="1">
      <x:c r="A20" s="7" t="n">
        <x:v>19</x:v>
      </x:c>
      <x:c r="B20" s="6" t="str">
        <x:v>deck_04</x:v>
      </x:c>
      <x:c r="C20" s="7" t="n">
        <x:v>0</x:v>
      </x:c>
      <x:c r="D20" s="7" t="n">
        <x:v>1</x:v>
      </x:c>
      <x:c r="E20" s="6" t="str"/>
    </x:row>
    <x:row r="21" ht="15" hidden="0" customHeight="1">
      <x:c r="A21" s="7" t="n">
        <x:v>20</x:v>
      </x:c>
      <x:c r="B21" s="6" t="str">
        <x:v>deck_04</x:v>
      </x:c>
      <x:c r="C21" s="7" t="n">
        <x:v>1</x:v>
      </x:c>
      <x:c r="D21" s="7" t="n">
        <x:v>2</x:v>
      </x:c>
      <x:c r="E21" s="6" t="str"/>
    </x:row>
    <x:row r="22" ht="15" hidden="0" customHeight="1">
      <x:c r="A22" s="7" t="n">
        <x:v>21</x:v>
      </x:c>
      <x:c r="B22" s="6" t="str">
        <x:v>deck_04</x:v>
      </x:c>
      <x:c r="C22" s="7" t="n">
        <x:v>2</x:v>
      </x:c>
      <x:c r="D22" s="7" t="n">
        <x:v>3</x:v>
      </x:c>
      <x:c r="E22" s="6" t="str"/>
    </x:row>
    <x:row r="23" ht="15" hidden="0" customHeight="1">
      <x:c r="A23" s="7" t="n">
        <x:v>22</x:v>
      </x:c>
      <x:c r="B23" s="6" t="str">
        <x:v>deck_04</x:v>
      </x:c>
      <x:c r="C23" s="7" t="n">
        <x:v>3</x:v>
      </x:c>
      <x:c r="D23" s="7" t="n">
        <x:v>4</x:v>
      </x:c>
      <x:c r="E23" s="6" t="str"/>
    </x:row>
    <x:row r="24" ht="15" hidden="0" customHeight="1">
      <x:c r="A24" s="7" t="n">
        <x:v>23</x:v>
      </x:c>
      <x:c r="B24" s="6" t="str">
        <x:v>deck_04</x:v>
      </x:c>
      <x:c r="C24" s="7" t="n">
        <x:v>4</x:v>
      </x:c>
      <x:c r="D24" s="7" t="n">
        <x:v>23</x:v>
      </x:c>
      <x:c r="E24" s="6" t="str"/>
    </x:row>
    <x:row r="25" ht="15" hidden="0" customHeight="1">
      <x:c r="A25" s="7" t="n">
        <x:v>24</x:v>
      </x:c>
      <x:c r="B25" s="6" t="str">
        <x:v>deck_04</x:v>
      </x:c>
      <x:c r="C25" s="7" t="n">
        <x:v>5</x:v>
      </x:c>
      <x:c r="D25" s="7" t="n">
        <x:v>24</x:v>
      </x:c>
      <x:c r="E25" s="6" t="str"/>
    </x:row>
    <x:row r="26" ht="15" hidden="0" customHeight="1">
      <x:c r="A26" s="7" t="n">
        <x:v>25</x:v>
      </x:c>
      <x:c r="B26" s="6" t="str">
        <x:v>deck_05</x:v>
      </x:c>
      <x:c r="C26" s="7" t="n">
        <x:v>0</x:v>
      </x:c>
      <x:c r="D26" s="7" t="n">
        <x:v>15</x:v>
      </x:c>
      <x:c r="E26" s="6" t="str"/>
    </x:row>
    <x:row r="27" ht="15" hidden="0" customHeight="1">
      <x:c r="A27" s="7" t="n">
        <x:v>26</x:v>
      </x:c>
      <x:c r="B27" s="6" t="str">
        <x:v>deck_05</x:v>
      </x:c>
      <x:c r="C27" s="7" t="n">
        <x:v>1</x:v>
      </x:c>
      <x:c r="D27" s="7" t="n">
        <x:v>16</x:v>
      </x:c>
      <x:c r="E27" s="6" t="str"/>
    </x:row>
    <x:row r="28" ht="15" hidden="0" customHeight="1">
      <x:c r="A28" s="7" t="n">
        <x:v>27</x:v>
      </x:c>
      <x:c r="B28" s="6" t="str">
        <x:v>deck_05</x:v>
      </x:c>
      <x:c r="C28" s="7" t="n">
        <x:v>2</x:v>
      </x:c>
      <x:c r="D28" s="7" t="n">
        <x:v>25</x:v>
      </x:c>
      <x:c r="E28" s="6" t="str"/>
    </x:row>
    <x:row r="29" ht="15" hidden="0" customHeight="1">
      <x:c r="A29" s="7" t="n">
        <x:v>28</x:v>
      </x:c>
      <x:c r="B29" s="6" t="str">
        <x:v>deck_05</x:v>
      </x:c>
      <x:c r="C29" s="7" t="n">
        <x:v>3</x:v>
      </x:c>
      <x:c r="D29" s="7" t="n">
        <x:v>26</x:v>
      </x:c>
      <x:c r="E29" s="6" t="str"/>
    </x:row>
    <x:row r="30" ht="15" hidden="0" customHeight="1">
      <x:c r="A30" s="7" t="n">
        <x:v>29</x:v>
      </x:c>
      <x:c r="B30" s="6" t="str">
        <x:v>deck_05</x:v>
      </x:c>
      <x:c r="C30" s="7" t="n">
        <x:v>4</x:v>
      </x:c>
      <x:c r="D30" s="7" t="n">
        <x:v>21</x:v>
      </x:c>
      <x:c r="E30" s="6" t="str"/>
    </x:row>
    <x:row r="31" ht="15" hidden="0" customHeight="1">
      <x:c r="A31" s="7" t="n">
        <x:v>30</x:v>
      </x:c>
      <x:c r="B31" s="6" t="str">
        <x:v>deck_05</x:v>
      </x:c>
      <x:c r="C31" s="7" t="n">
        <x:v>5</x:v>
      </x:c>
      <x:c r="D31" s="7" t="n">
        <x:v>22</x:v>
      </x:c>
      <x:c r="E31" s="6" t="str"/>
    </x:row>
    <x:row r="32" ht="15" hidden="0" customHeight="1">
      <x:c r="A32" s="7" t="n">
        <x:v>31</x:v>
      </x:c>
      <x:c r="B32" s="6" t="str">
        <x:v>deck_06</x:v>
      </x:c>
      <x:c r="C32" s="7" t="n">
        <x:v>0</x:v>
      </x:c>
      <x:c r="D32" s="7" t="n">
        <x:v>15</x:v>
      </x:c>
      <x:c r="E32" s="6" t="str"/>
    </x:row>
    <x:row r="33" ht="15" hidden="0" customHeight="1">
      <x:c r="A33" s="7" t="n">
        <x:v>32</x:v>
      </x:c>
      <x:c r="B33" s="6" t="str">
        <x:v>deck_06</x:v>
      </x:c>
      <x:c r="C33" s="7" t="n">
        <x:v>1</x:v>
      </x:c>
      <x:c r="D33" s="7" t="n">
        <x:v>16</x:v>
      </x:c>
      <x:c r="E33" s="6" t="str"/>
    </x:row>
    <x:row r="34" ht="15" hidden="0" customHeight="1">
      <x:c r="A34" s="7" t="n">
        <x:v>33</x:v>
      </x:c>
      <x:c r="B34" s="6" t="str">
        <x:v>deck_06</x:v>
      </x:c>
      <x:c r="C34" s="7" t="n">
        <x:v>2</x:v>
      </x:c>
      <x:c r="D34" s="7" t="n">
        <x:v>25</x:v>
      </x:c>
      <x:c r="E34" s="6" t="str"/>
    </x:row>
    <x:row r="35" ht="15" hidden="0" customHeight="1">
      <x:c r="A35" s="7" t="n">
        <x:v>34</x:v>
      </x:c>
      <x:c r="B35" s="6" t="str">
        <x:v>deck_06</x:v>
      </x:c>
      <x:c r="C35" s="7" t="n">
        <x:v>3</x:v>
      </x:c>
      <x:c r="D35" s="7" t="n">
        <x:v>26</x:v>
      </x:c>
      <x:c r="E35" s="6" t="str"/>
    </x:row>
    <x:row r="36" ht="15" hidden="0" customHeight="1">
      <x:c r="A36" s="7" t="n">
        <x:v>35</x:v>
      </x:c>
      <x:c r="B36" s="6" t="str">
        <x:v>deck_06</x:v>
      </x:c>
      <x:c r="C36" s="7" t="n">
        <x:v>4</x:v>
      </x:c>
      <x:c r="D36" s="7" t="n">
        <x:v>23</x:v>
      </x:c>
      <x:c r="E36" s="6" t="str"/>
    </x:row>
    <x:row r="37" ht="15" hidden="0" customHeight="1">
      <x:c r="A37" s="7" t="n">
        <x:v>36</x:v>
      </x:c>
      <x:c r="B37" s="6" t="str">
        <x:v>deck_06</x:v>
      </x:c>
      <x:c r="C37" s="7" t="n">
        <x:v>5</x:v>
      </x:c>
      <x:c r="D37" s="7" t="n">
        <x:v>24</x:v>
      </x:c>
      <x:c r="E37" s="6" t="str"/>
    </x:row>
    <x:row r="38" ht="15" hidden="0" customHeight="1">
      <x:c r="A38" s="7" t="n">
        <x:v>37</x:v>
      </x:c>
      <x:c r="B38" s="6" t="str">
        <x:v>deck_07</x:v>
      </x:c>
      <x:c r="C38" s="7" t="n">
        <x:v>0</x:v>
      </x:c>
      <x:c r="D38" s="7" t="n">
        <x:v>8</x:v>
      </x:c>
      <x:c r="E38" s="6" t="str"/>
    </x:row>
    <x:row r="39" ht="15" hidden="0" customHeight="1">
      <x:c r="A39" s="7" t="n">
        <x:v>38</x:v>
      </x:c>
      <x:c r="B39" s="6" t="str">
        <x:v>deck_07</x:v>
      </x:c>
      <x:c r="C39" s="7" t="n">
        <x:v>1</x:v>
      </x:c>
      <x:c r="D39" s="7" t="n">
        <x:v>9</x:v>
      </x:c>
      <x:c r="E39" s="6" t="str"/>
    </x:row>
    <x:row r="40" ht="15" hidden="0" customHeight="1">
      <x:c r="A40" s="7" t="n">
        <x:v>39</x:v>
      </x:c>
      <x:c r="B40" s="6" t="str">
        <x:v>deck_07</x:v>
      </x:c>
      <x:c r="C40" s="7" t="n">
        <x:v>2</x:v>
      </x:c>
      <x:c r="D40" s="7" t="n">
        <x:v>10</x:v>
      </x:c>
      <x:c r="E40" s="6" t="str"/>
    </x:row>
    <x:row r="41" ht="15" hidden="0" customHeight="1">
      <x:c r="A41" s="7" t="n">
        <x:v>40</x:v>
      </x:c>
      <x:c r="B41" s="6" t="str">
        <x:v>deck_07</x:v>
      </x:c>
      <x:c r="C41" s="7" t="n">
        <x:v>3</x:v>
      </x:c>
      <x:c r="D41" s="7" t="n">
        <x:v>5</x:v>
      </x:c>
      <x:c r="E41" s="6" t="str"/>
    </x:row>
    <x:row r="42" ht="15" hidden="0" customHeight="1">
      <x:c r="A42" s="7" t="n">
        <x:v>41</x:v>
      </x:c>
      <x:c r="B42" s="6" t="str">
        <x:v>deck_07</x:v>
      </x:c>
      <x:c r="C42" s="7" t="n">
        <x:v>4</x:v>
      </x:c>
      <x:c r="D42" s="7" t="n">
        <x:v>6</x:v>
      </x:c>
      <x:c r="E42" s="6" t="str"/>
    </x:row>
    <x:row r="43" ht="15" hidden="0" customHeight="1">
      <x:c r="A43" s="7" t="n">
        <x:v>42</x:v>
      </x:c>
      <x:c r="B43" s="6" t="str">
        <x:v>deck_07</x:v>
      </x:c>
      <x:c r="C43" s="7" t="n">
        <x:v>5</x:v>
      </x:c>
      <x:c r="D43" s="7" t="n">
        <x:v>7</x:v>
      </x:c>
      <x:c r="E43" s="6" t="str"/>
    </x:row>
    <x:row r="44" ht="15" hidden="0" customHeight="1">
      <x:c r="A44" s="7" t="n">
        <x:v>43</x:v>
      </x:c>
      <x:c r="B44" s="6" t="str">
        <x:v>deck_08</x:v>
      </x:c>
      <x:c r="C44" s="7" t="n">
        <x:v>0</x:v>
      </x:c>
      <x:c r="D44" s="7" t="n">
        <x:v>5</x:v>
      </x:c>
      <x:c r="E44" s="6" t="str"/>
    </x:row>
    <x:row r="45" ht="15" hidden="0" customHeight="1">
      <x:c r="A45" s="7" t="n">
        <x:v>44</x:v>
      </x:c>
      <x:c r="B45" s="6" t="str">
        <x:v>deck_08</x:v>
      </x:c>
      <x:c r="C45" s="7" t="n">
        <x:v>1</x:v>
      </x:c>
      <x:c r="D45" s="7" t="n">
        <x:v>6</x:v>
      </x:c>
      <x:c r="E45" s="6" t="str"/>
    </x:row>
    <x:row r="46" ht="15" hidden="0" customHeight="1">
      <x:c r="A46" s="7" t="n">
        <x:v>45</x:v>
      </x:c>
      <x:c r="B46" s="6" t="str">
        <x:v>deck_08</x:v>
      </x:c>
      <x:c r="C46" s="7" t="n">
        <x:v>2</x:v>
      </x:c>
      <x:c r="D46" s="7" t="n">
        <x:v>7</x:v>
      </x:c>
      <x:c r="E46" s="6" t="str"/>
    </x:row>
    <x:row r="47" ht="15" hidden="0" customHeight="1">
      <x:c r="A47" s="7" t="n">
        <x:v>46</x:v>
      </x:c>
      <x:c r="B47" s="6" t="str">
        <x:v>deck_08</x:v>
      </x:c>
      <x:c r="C47" s="7" t="n">
        <x:v>3</x:v>
      </x:c>
      <x:c r="D47" s="7" t="n">
        <x:v>11</x:v>
      </x:c>
      <x:c r="E47" s="6" t="str"/>
    </x:row>
    <x:row r="48" ht="15" hidden="0" customHeight="1">
      <x:c r="A48" s="7" t="n">
        <x:v>47</x:v>
      </x:c>
      <x:c r="B48" s="6" t="str">
        <x:v>deck_08</x:v>
      </x:c>
      <x:c r="C48" s="7" t="n">
        <x:v>4</x:v>
      </x:c>
      <x:c r="D48" s="7" t="n">
        <x:v>12</x:v>
      </x:c>
      <x:c r="E48" s="6" t="str"/>
    </x:row>
    <x:row r="49" ht="15" hidden="0" customHeight="1">
      <x:c r="A49" s="7" t="n">
        <x:v>48</x:v>
      </x:c>
      <x:c r="B49" s="6" t="str">
        <x:v>deck_08</x:v>
      </x:c>
      <x:c r="C49" s="7" t="n">
        <x:v>5</x:v>
      </x:c>
      <x:c r="D49" s="7" t="n">
        <x:v>10</x:v>
      </x:c>
      <x:c r="E49" s="6" t="str"/>
    </x:row>
    <x:row r="50" ht="15" hidden="0" customHeight="1">
      <x:c r="A50" s="7" t="n">
        <x:v>49</x:v>
      </x:c>
      <x:c r="B50" s="6" t="str">
        <x:v>deck_09</x:v>
      </x:c>
      <x:c r="C50" s="7" t="n">
        <x:v>0</x:v>
      </x:c>
      <x:c r="D50" s="7" t="n">
        <x:v>21</x:v>
      </x:c>
      <x:c r="E50" s="6" t="str"/>
    </x:row>
    <x:row r="51" ht="15" hidden="0" customHeight="1">
      <x:c r="A51" s="7" t="n">
        <x:v>50</x:v>
      </x:c>
      <x:c r="B51" s="6" t="str">
        <x:v>deck_09</x:v>
      </x:c>
      <x:c r="C51" s="7" t="n">
        <x:v>1</x:v>
      </x:c>
      <x:c r="D51" s="7" t="n">
        <x:v>22</x:v>
      </x:c>
      <x:c r="E51" s="6" t="str"/>
    </x:row>
    <x:row r="52" ht="15" hidden="0" customHeight="1">
      <x:c r="A52" s="7" t="n">
        <x:v>51</x:v>
      </x:c>
      <x:c r="B52" s="6" t="str">
        <x:v>deck_09</x:v>
      </x:c>
      <x:c r="C52" s="7" t="n">
        <x:v>2</x:v>
      </x:c>
      <x:c r="D52" s="7" t="n">
        <x:v>23</x:v>
      </x:c>
      <x:c r="E52" s="6" t="str"/>
    </x:row>
    <x:row r="53" ht="15" hidden="0" customHeight="1">
      <x:c r="A53" s="7" t="n">
        <x:v>52</x:v>
      </x:c>
      <x:c r="B53" s="6" t="str">
        <x:v>deck_09</x:v>
      </x:c>
      <x:c r="C53" s="7" t="n">
        <x:v>3</x:v>
      </x:c>
      <x:c r="D53" s="7" t="n">
        <x:v>24</x:v>
      </x:c>
      <x:c r="E53" s="6" t="str"/>
    </x:row>
    <x:row r="54" ht="15" hidden="0" customHeight="1">
      <x:c r="A54" s="7" t="n">
        <x:v>53</x:v>
      </x:c>
      <x:c r="B54" s="6" t="str">
        <x:v>deck_09</x:v>
      </x:c>
      <x:c r="C54" s="7" t="n">
        <x:v>4</x:v>
      </x:c>
      <x:c r="D54" s="7" t="n">
        <x:v>13</x:v>
      </x:c>
      <x:c r="E54" s="6" t="str"/>
    </x:row>
    <x:row r="55" ht="15" hidden="0" customHeight="1">
      <x:c r="A55" s="7" t="n">
        <x:v>54</x:v>
      </x:c>
      <x:c r="B55" s="6" t="str">
        <x:v>deck_09</x:v>
      </x:c>
      <x:c r="C55" s="7" t="n">
        <x:v>5</x:v>
      </x:c>
      <x:c r="D55" s="7" t="n">
        <x:v>14</x:v>
      </x:c>
      <x:c r="E55" s="6" t="str"/>
    </x:row>
    <x:row r="56" ht="15" hidden="0" customHeight="1">
      <x:c r="A56" s="7" t="n">
        <x:v>55</x:v>
      </x:c>
      <x:c r="B56" s="6" t="str">
        <x:v>deck_10</x:v>
      </x:c>
      <x:c r="C56" s="7" t="n">
        <x:v>0</x:v>
      </x:c>
      <x:c r="D56" s="7" t="n">
        <x:v>29</x:v>
      </x:c>
      <x:c r="E56" s="6" t="str"/>
    </x:row>
    <x:row r="57" ht="15" hidden="0" customHeight="1">
      <x:c r="A57" s="7" t="n">
        <x:v>56</x:v>
      </x:c>
      <x:c r="B57" s="6" t="str">
        <x:v>deck_10</x:v>
      </x:c>
      <x:c r="C57" s="7" t="n">
        <x:v>1</x:v>
      </x:c>
      <x:c r="D57" s="7" t="n">
        <x:v>20</x:v>
      </x:c>
      <x:c r="E57" s="6" t="str"/>
    </x:row>
    <x:row r="58" ht="15" hidden="0" customHeight="1">
      <x:c r="A58" s="7" t="n">
        <x:v>57</x:v>
      </x:c>
      <x:c r="B58" s="6" t="str">
        <x:v>deck_10</x:v>
      </x:c>
      <x:c r="C58" s="7" t="n">
        <x:v>2</x:v>
      </x:c>
      <x:c r="D58" s="7" t="n">
        <x:v>30</x:v>
      </x:c>
      <x:c r="E58" s="6" t="str"/>
    </x:row>
    <x:row r="59" ht="15" hidden="0" customHeight="1">
      <x:c r="A59" s="7" t="n">
        <x:v>58</x:v>
      </x:c>
      <x:c r="B59" s="6" t="str">
        <x:v>deck_10</x:v>
      </x:c>
      <x:c r="C59" s="7" t="n">
        <x:v>3</x:v>
      </x:c>
      <x:c r="D59" s="7" t="n">
        <x:v>28</x:v>
      </x:c>
      <x:c r="E59" s="6" t="str"/>
    </x:row>
    <x:row r="60" ht="15" hidden="0" customHeight="1">
      <x:c r="A60" s="7" t="n">
        <x:v>59</x:v>
      </x:c>
      <x:c r="B60" s="6" t="str">
        <x:v>deck_10</x:v>
      </x:c>
      <x:c r="C60" s="7" t="n">
        <x:v>4</x:v>
      </x:c>
      <x:c r="D60" s="7" t="n">
        <x:v>6</x:v>
      </x:c>
      <x:c r="E60" s="6" t="str"/>
    </x:row>
    <x:row r="61" ht="15" hidden="0" customHeight="1">
      <x:c r="A61" s="7" t="n">
        <x:v>60</x:v>
      </x:c>
      <x:c r="B61" s="6" t="str">
        <x:v>deck_10</x:v>
      </x:c>
      <x:c r="C61" s="7" t="n">
        <x:v>5</x:v>
      </x:c>
      <x:c r="D61" s="7" t="n">
        <x:v>27</x:v>
      </x:c>
      <x:c r="E61" s="6" t="str"/>
    </x:row>
    <x:row r="62" ht="15" hidden="0" customHeight="1">
      <x:c r="A62" s="7" t="n">
        <x:v>61</x:v>
      </x:c>
      <x:c r="B62" s="6" t="str">
        <x:v>deck_11</x:v>
      </x:c>
      <x:c r="C62" s="7" t="n">
        <x:v>0</x:v>
      </x:c>
      <x:c r="D62" s="7" t="n">
        <x:v>29</x:v>
      </x:c>
      <x:c r="E62" s="6" t="str"/>
    </x:row>
    <x:row r="63" ht="15" hidden="0" customHeight="1">
      <x:c r="A63" s="7" t="n">
        <x:v>62</x:v>
      </x:c>
      <x:c r="B63" s="6" t="str">
        <x:v>deck_11</x:v>
      </x:c>
      <x:c r="C63" s="7" t="n">
        <x:v>1</x:v>
      </x:c>
      <x:c r="D63" s="7" t="n">
        <x:v>4</x:v>
      </x:c>
      <x:c r="E63" s="6" t="str"/>
    </x:row>
    <x:row r="64" ht="15" hidden="0" customHeight="1">
      <x:c r="A64" s="7" t="n">
        <x:v>63</x:v>
      </x:c>
      <x:c r="B64" s="6" t="str">
        <x:v>deck_11</x:v>
      </x:c>
      <x:c r="C64" s="7" t="n">
        <x:v>2</x:v>
      </x:c>
      <x:c r="D64" s="7" t="n">
        <x:v>30</x:v>
      </x:c>
      <x:c r="E64" s="6" t="str"/>
    </x:row>
    <x:row r="65" ht="15" hidden="0" customHeight="1">
      <x:c r="A65" s="7" t="n">
        <x:v>64</x:v>
      </x:c>
      <x:c r="B65" s="6" t="str">
        <x:v>deck_11</x:v>
      </x:c>
      <x:c r="C65" s="7" t="n">
        <x:v>3</x:v>
      </x:c>
      <x:c r="D65" s="7" t="n">
        <x:v>28</x:v>
      </x:c>
      <x:c r="E65" s="6" t="str"/>
    </x:row>
    <x:row r="66" ht="15" hidden="0" customHeight="1">
      <x:c r="A66" s="7" t="n">
        <x:v>65</x:v>
      </x:c>
      <x:c r="B66" s="6" t="str">
        <x:v>deck_11</x:v>
      </x:c>
      <x:c r="C66" s="7" t="n">
        <x:v>4</x:v>
      </x:c>
      <x:c r="D66" s="7" t="n">
        <x:v>11</x:v>
      </x:c>
      <x:c r="E66" s="6" t="str"/>
    </x:row>
    <x:row r="67" ht="15" hidden="0" customHeight="1">
      <x:c r="A67" s="7" t="n">
        <x:v>66</x:v>
      </x:c>
      <x:c r="B67" s="6" t="str">
        <x:v>deck_11</x:v>
      </x:c>
      <x:c r="C67" s="7" t="n">
        <x:v>5</x:v>
      </x:c>
      <x:c r="D67" s="7" t="n">
        <x:v>26</x:v>
      </x:c>
      <x:c r="E67" s="6" t="str"/>
    </x:row>
    <x:row r="68" ht="15" hidden="0" customHeight="1">
      <x:c r="A68" s="7" t="n">
        <x:v>67</x:v>
      </x:c>
      <x:c r="B68" s="6" t="str">
        <x:v>deck_12</x:v>
      </x:c>
      <x:c r="C68" s="7" t="n">
        <x:v>0</x:v>
      </x:c>
      <x:c r="D68" s="7" t="n">
        <x:v>17</x:v>
      </x:c>
      <x:c r="E68" s="6" t="str"/>
    </x:row>
    <x:row r="69" ht="15" hidden="0" customHeight="1">
      <x:c r="A69" s="7" t="n">
        <x:v>68</x:v>
      </x:c>
      <x:c r="B69" s="6" t="str">
        <x:v>deck_12</x:v>
      </x:c>
      <x:c r="C69" s="7" t="n">
        <x:v>1</x:v>
      </x:c>
      <x:c r="D69" s="7" t="n">
        <x:v>18</x:v>
      </x:c>
      <x:c r="E69" s="6" t="str"/>
    </x:row>
    <x:row r="70" ht="15" hidden="0" customHeight="1">
      <x:c r="A70" s="7" t="n">
        <x:v>69</x:v>
      </x:c>
      <x:c r="B70" s="6" t="str">
        <x:v>deck_12</x:v>
      </x:c>
      <x:c r="C70" s="7" t="n">
        <x:v>2</x:v>
      </x:c>
      <x:c r="D70" s="7" t="n">
        <x:v>2</x:v>
      </x:c>
      <x:c r="E70" s="6" t="str"/>
    </x:row>
    <x:row r="71" ht="15" hidden="0" customHeight="1">
      <x:c r="A71" s="7" t="n">
        <x:v>70</x:v>
      </x:c>
      <x:c r="B71" s="6" t="str">
        <x:v>deck_12</x:v>
      </x:c>
      <x:c r="C71" s="7" t="n">
        <x:v>3</x:v>
      </x:c>
      <x:c r="D71" s="7" t="n">
        <x:v>30</x:v>
      </x:c>
      <x:c r="E71" s="6" t="str"/>
    </x:row>
    <x:row r="72" ht="15" hidden="0" customHeight="1">
      <x:c r="A72" s="7" t="n">
        <x:v>71</x:v>
      </x:c>
      <x:c r="B72" s="6" t="str">
        <x:v>deck_12</x:v>
      </x:c>
      <x:c r="C72" s="7" t="n">
        <x:v>4</x:v>
      </x:c>
      <x:c r="D72" s="7" t="n">
        <x:v>6</x:v>
      </x:c>
      <x:c r="E72" s="6" t="str"/>
    </x:row>
    <x:row r="73" ht="15" hidden="0" customHeight="1">
      <x:c r="A73" s="7" t="n">
        <x:v>72</x:v>
      </x:c>
      <x:c r="B73" s="6" t="str">
        <x:v>deck_12</x:v>
      </x:c>
      <x:c r="C73" s="7" t="n">
        <x:v>5</x:v>
      </x:c>
      <x:c r="D73" s="7" t="n">
        <x:v>27</x:v>
      </x:c>
      <x:c r="E73" s="6" t="str"/>
    </x:row>
    <x:row r="74" ht="15" hidden="0" customHeight="1">
      <x:c r="A74" s="7" t="n">
        <x:v>73</x:v>
      </x:c>
      <x:c r="B74" s="6" t="str">
        <x:v>deck_13</x:v>
      </x:c>
      <x:c r="C74" s="7" t="n">
        <x:v>0</x:v>
      </x:c>
      <x:c r="D74" s="7" t="n">
        <x:v>29</x:v>
      </x:c>
      <x:c r="E74" s="6" t="str"/>
    </x:row>
    <x:row r="75" ht="15" hidden="0" customHeight="1">
      <x:c r="A75" s="7" t="n">
        <x:v>74</x:v>
      </x:c>
      <x:c r="B75" s="6" t="str">
        <x:v>deck_13</x:v>
      </x:c>
      <x:c r="C75" s="7" t="n">
        <x:v>1</x:v>
      </x:c>
      <x:c r="D75" s="7" t="n">
        <x:v>30</x:v>
      </x:c>
      <x:c r="E75" s="6" t="str"/>
    </x:row>
    <x:row r="76" ht="15" hidden="0" customHeight="1">
      <x:c r="A76" s="7" t="n">
        <x:v>75</x:v>
      </x:c>
      <x:c r="B76" s="6" t="str">
        <x:v>deck_13</x:v>
      </x:c>
      <x:c r="C76" s="7" t="n">
        <x:v>2</x:v>
      </x:c>
      <x:c r="D76" s="7" t="n">
        <x:v>5</x:v>
      </x:c>
      <x:c r="E76" s="6" t="str"/>
    </x:row>
    <x:row r="77" ht="15" hidden="0" customHeight="1">
      <x:c r="A77" s="7" t="n">
        <x:v>76</x:v>
      </x:c>
      <x:c r="B77" s="6" t="str">
        <x:v>deck_13</x:v>
      </x:c>
      <x:c r="C77" s="7" t="n">
        <x:v>3</x:v>
      </x:c>
      <x:c r="D77" s="7" t="n">
        <x:v>22</x:v>
      </x:c>
      <x:c r="E77" s="6" t="str"/>
    </x:row>
    <x:row r="78" ht="15" hidden="0" customHeight="1">
      <x:c r="A78" s="7" t="n">
        <x:v>77</x:v>
      </x:c>
      <x:c r="B78" s="6" t="str">
        <x:v>deck_13</x:v>
      </x:c>
      <x:c r="C78" s="7" t="n">
        <x:v>4</x:v>
      </x:c>
      <x:c r="D78" s="7" t="n">
        <x:v>28</x:v>
      </x:c>
      <x:c r="E78" s="6" t="str"/>
    </x:row>
    <x:row r="79" ht="15" hidden="0" customHeight="1">
      <x:c r="A79" s="7" t="n">
        <x:v>78</x:v>
      </x:c>
      <x:c r="B79" s="6" t="str">
        <x:v>deck_13</x:v>
      </x:c>
      <x:c r="C79" s="7" t="n">
        <x:v>5</x:v>
      </x:c>
      <x:c r="D79" s="7" t="n">
        <x:v>23</x:v>
      </x:c>
      <x:c r="E79" s="6" t="str"/>
    </x:row>
    <x:row r="80" ht="15" hidden="0" customHeight="1">
      <x:c r="A80" s="7" t="n">
        <x:v>79</x:v>
      </x:c>
      <x:c r="B80" s="6" t="str">
        <x:v>deck_14</x:v>
      </x:c>
      <x:c r="C80" s="7" t="n">
        <x:v>0</x:v>
      </x:c>
      <x:c r="D80" s="7" t="n">
        <x:v>29</x:v>
      </x:c>
      <x:c r="E80" s="6" t="str"/>
    </x:row>
    <x:row r="81" ht="15" hidden="0" customHeight="1">
      <x:c r="A81" s="7" t="n">
        <x:v>80</x:v>
      </x:c>
      <x:c r="B81" s="6" t="str">
        <x:v>deck_14</x:v>
      </x:c>
      <x:c r="C81" s="7" t="n">
        <x:v>1</x:v>
      </x:c>
      <x:c r="D81" s="7" t="n">
        <x:v>18</x:v>
      </x:c>
      <x:c r="E81" s="6" t="str"/>
    </x:row>
    <x:row r="82" ht="15" hidden="0" customHeight="1">
      <x:c r="A82" s="7" t="n">
        <x:v>81</x:v>
      </x:c>
      <x:c r="B82" s="6" t="str">
        <x:v>deck_14</x:v>
      </x:c>
      <x:c r="C82" s="7" t="n">
        <x:v>2</x:v>
      </x:c>
      <x:c r="D82" s="7" t="n">
        <x:v>9</x:v>
      </x:c>
      <x:c r="E82" s="6" t="str"/>
    </x:row>
    <x:row r="83" ht="15" hidden="0" customHeight="1">
      <x:c r="A83" s="7" t="n">
        <x:v>82</x:v>
      </x:c>
      <x:c r="B83" s="6" t="str">
        <x:v>deck_14</x:v>
      </x:c>
      <x:c r="C83" s="7" t="n">
        <x:v>3</x:v>
      </x:c>
      <x:c r="D83" s="7" t="n">
        <x:v>28</x:v>
      </x:c>
      <x:c r="E83" s="6" t="str"/>
    </x:row>
    <x:row r="84" ht="15" hidden="0" customHeight="1">
      <x:c r="A84" s="7" t="n">
        <x:v>83</x:v>
      </x:c>
      <x:c r="B84" s="6" t="str">
        <x:v>deck_14</x:v>
      </x:c>
      <x:c r="C84" s="7" t="n">
        <x:v>4</x:v>
      </x:c>
      <x:c r="D84" s="7" t="n">
        <x:v>8</x:v>
      </x:c>
      <x:c r="E84" s="6" t="str"/>
    </x:row>
    <x:row r="85" ht="15" hidden="0" customHeight="1">
      <x:c r="A85" s="7" t="n">
        <x:v>84</x:v>
      </x:c>
      <x:c r="B85" s="6" t="str">
        <x:v>deck_14</x:v>
      </x:c>
      <x:c r="C85" s="7" t="n">
        <x:v>5</x:v>
      </x:c>
      <x:c r="D85" s="7" t="n">
        <x:v>6</x:v>
      </x:c>
      <x:c r="E85" s="6" t="str"/>
    </x:row>
    <x:row r="86" ht="15" hidden="0" customHeight="1">
      <x:c r="A86" s="7" t="n">
        <x:v>85</x:v>
      </x:c>
      <x:c r="B86" s="6" t="str">
        <x:v>deck_15</x:v>
      </x:c>
      <x:c r="C86" s="7" t="n">
        <x:v>0</x:v>
      </x:c>
      <x:c r="D86" s="7" t="n">
        <x:v>19</x:v>
      </x:c>
      <x:c r="E86" s="6" t="str"/>
    </x:row>
    <x:row r="87" ht="15" hidden="0" customHeight="1">
      <x:c r="A87" s="7" t="n">
        <x:v>86</x:v>
      </x:c>
      <x:c r="B87" s="6" t="str">
        <x:v>deck_15</x:v>
      </x:c>
      <x:c r="C87" s="7" t="n">
        <x:v>1</x:v>
      </x:c>
      <x:c r="D87" s="7" t="n">
        <x:v>13</x:v>
      </x:c>
      <x:c r="E87" s="6" t="str"/>
    </x:row>
    <x:row r="88" ht="15" hidden="0" customHeight="1">
      <x:c r="A88" s="7" t="n">
        <x:v>87</x:v>
      </x:c>
      <x:c r="B88" s="6" t="str">
        <x:v>deck_15</x:v>
      </x:c>
      <x:c r="C88" s="7" t="n">
        <x:v>2</x:v>
      </x:c>
      <x:c r="D88" s="7" t="n">
        <x:v>30</x:v>
      </x:c>
      <x:c r="E88" s="6" t="str"/>
    </x:row>
    <x:row r="89" ht="15" hidden="0" customHeight="1">
      <x:c r="A89" s="7" t="n">
        <x:v>88</x:v>
      </x:c>
      <x:c r="B89" s="6" t="str">
        <x:v>deck_15</x:v>
      </x:c>
      <x:c r="C89" s="7" t="n">
        <x:v>3</x:v>
      </x:c>
      <x:c r="D89" s="7" t="n">
        <x:v>25</x:v>
      </x:c>
      <x:c r="E89" s="6" t="str"/>
    </x:row>
    <x:row r="90" ht="15" hidden="0" customHeight="1">
      <x:c r="A90" s="7" t="n">
        <x:v>89</x:v>
      </x:c>
      <x:c r="B90" s="6" t="str">
        <x:v>deck_15</x:v>
      </x:c>
      <x:c r="C90" s="7" t="n">
        <x:v>4</x:v>
      </x:c>
      <x:c r="D90" s="7" t="n">
        <x:v>6</x:v>
      </x:c>
      <x:c r="E90" s="6" t="str"/>
    </x:row>
    <x:row r="91" ht="15" hidden="0" customHeight="1">
      <x:c r="A91" s="7" t="n">
        <x:v>90</x:v>
      </x:c>
      <x:c r="B91" s="6" t="str">
        <x:v>deck_15</x:v>
      </x:c>
      <x:c r="C91" s="7" t="n">
        <x:v>5</x:v>
      </x:c>
      <x:c r="D91" s="7" t="n">
        <x:v>27</x:v>
      </x:c>
      <x:c r="E91" s="6" t="str"/>
    </x:row>
    <x:row r="92" ht="15" hidden="0" customHeight="1">
      <x:c r="A92" s="7" t="n">
        <x:v>91</x:v>
      </x:c>
      <x:c r="B92" s="6" t="str">
        <x:v>deck_16</x:v>
      </x:c>
      <x:c r="C92" s="7" t="n">
        <x:v>0</x:v>
      </x:c>
      <x:c r="D92" s="7" t="n">
        <x:v>29</x:v>
      </x:c>
      <x:c r="E92" s="6" t="str"/>
    </x:row>
    <x:row r="93" ht="15" hidden="0" customHeight="1">
      <x:c r="A93" s="7" t="n">
        <x:v>92</x:v>
      </x:c>
      <x:c r="B93" s="6" t="str">
        <x:v>deck_16</x:v>
      </x:c>
      <x:c r="C93" s="7" t="n">
        <x:v>1</x:v>
      </x:c>
      <x:c r="D93" s="7" t="n">
        <x:v>1</x:v>
      </x:c>
      <x:c r="E93" s="6" t="str"/>
    </x:row>
    <x:row r="94" ht="15" hidden="0" customHeight="1">
      <x:c r="A94" s="7" t="n">
        <x:v>93</x:v>
      </x:c>
      <x:c r="B94" s="6" t="str">
        <x:v>deck_16</x:v>
      </x:c>
      <x:c r="C94" s="7" t="n">
        <x:v>2</x:v>
      </x:c>
      <x:c r="D94" s="7" t="n">
        <x:v>3</x:v>
      </x:c>
      <x:c r="E94" s="6" t="str"/>
    </x:row>
    <x:row r="95" ht="15" hidden="0" customHeight="1">
      <x:c r="A95" s="7" t="n">
        <x:v>94</x:v>
      </x:c>
      <x:c r="B95" s="6" t="str">
        <x:v>deck_16</x:v>
      </x:c>
      <x:c r="C95" s="7" t="n">
        <x:v>3</x:v>
      </x:c>
      <x:c r="D95" s="7" t="n">
        <x:v>2</x:v>
      </x:c>
      <x:c r="E95" s="6" t="str"/>
    </x:row>
    <x:row r="96" ht="15" hidden="0" customHeight="1">
      <x:c r="A96" s="7" t="n">
        <x:v>95</x:v>
      </x:c>
      <x:c r="B96" s="6" t="str">
        <x:v>deck_16</x:v>
      </x:c>
      <x:c r="C96" s="7" t="n">
        <x:v>4</x:v>
      </x:c>
      <x:c r="D96" s="7" t="n">
        <x:v>30</x:v>
      </x:c>
      <x:c r="E96" s="6" t="str"/>
    </x:row>
    <x:row r="97" ht="15" hidden="0" customHeight="1">
      <x:c r="A97" s="7" t="n">
        <x:v>96</x:v>
      </x:c>
      <x:c r="B97" s="6" t="str">
        <x:v>deck_16</x:v>
      </x:c>
      <x:c r="C97" s="7" t="n">
        <x:v>5</x:v>
      </x:c>
      <x:c r="D97" s="7" t="n">
        <x:v>7</x:v>
      </x:c>
      <x:c r="E97" s="6" t="str"/>
    </x:row>
    <x:row r="98" ht="15" hidden="0" customHeight="1">
      <x:c r="A98" s="7" t="n">
        <x:v>97</x:v>
      </x:c>
      <x:c r="B98" s="6" t="str">
        <x:v>deck_17</x:v>
      </x:c>
      <x:c r="C98" s="7" t="n">
        <x:v>0</x:v>
      </x:c>
      <x:c r="D98" s="7" t="n">
        <x:v>15</x:v>
      </x:c>
      <x:c r="E98" s="6" t="str"/>
    </x:row>
    <x:row r="99" ht="15" hidden="0" customHeight="1">
      <x:c r="A99" s="7" t="n">
        <x:v>98</x:v>
      </x:c>
      <x:c r="B99" s="6" t="str">
        <x:v>deck_17</x:v>
      </x:c>
      <x:c r="C99" s="7" t="n">
        <x:v>1</x:v>
      </x:c>
      <x:c r="D99" s="7" t="n">
        <x:v>16</x:v>
      </x:c>
      <x:c r="E99" s="6" t="str"/>
    </x:row>
    <x:row r="100" ht="15" hidden="0" customHeight="1">
      <x:c r="A100" s="7" t="n">
        <x:v>99</x:v>
      </x:c>
      <x:c r="B100" s="6" t="str">
        <x:v>deck_17</x:v>
      </x:c>
      <x:c r="C100" s="7" t="n">
        <x:v>2</x:v>
      </x:c>
      <x:c r="D100" s="7" t="n">
        <x:v>30</x:v>
      </x:c>
      <x:c r="E100" s="6" t="str"/>
    </x:row>
    <x:row r="101" ht="15" hidden="0" customHeight="1">
      <x:c r="A101" s="7" t="n">
        <x:v>100</x:v>
      </x:c>
      <x:c r="B101" s="6" t="str">
        <x:v>deck_17</x:v>
      </x:c>
      <x:c r="C101" s="7" t="n">
        <x:v>3</x:v>
      </x:c>
      <x:c r="D101" s="7" t="n">
        <x:v>25</x:v>
      </x:c>
      <x:c r="E101" s="6" t="str"/>
    </x:row>
    <x:row r="102" ht="15" hidden="0" customHeight="1">
      <x:c r="A102" s="7" t="n">
        <x:v>101</x:v>
      </x:c>
      <x:c r="B102" s="6" t="str">
        <x:v>deck_17</x:v>
      </x:c>
      <x:c r="C102" s="7" t="n">
        <x:v>4</x:v>
      </x:c>
      <x:c r="D102" s="7" t="n">
        <x:v>14</x:v>
      </x:c>
      <x:c r="E102" s="6" t="str"/>
    </x:row>
    <x:row r="103" ht="15" hidden="0" customHeight="1">
      <x:c r="A103" s="7" t="n">
        <x:v>102</x:v>
      </x:c>
      <x:c r="B103" s="6" t="str">
        <x:v>deck_17</x:v>
      </x:c>
      <x:c r="C103" s="7" t="n">
        <x:v>5</x:v>
      </x:c>
      <x:c r="D103" s="7" t="n">
        <x:v>27</x:v>
      </x:c>
      <x:c r="E103" s="6" t="str"/>
    </x:row>
    <x:row r="104" ht="15" hidden="0" customHeight="1">
      <x:c r="A104" s="7" t="n">
        <x:v>103</x:v>
      </x:c>
      <x:c r="B104" s="6" t="str">
        <x:v>deck_18</x:v>
      </x:c>
      <x:c r="C104" s="7" t="n">
        <x:v>0</x:v>
      </x:c>
      <x:c r="D104" s="7" t="n">
        <x:v>29</x:v>
      </x:c>
      <x:c r="E104" s="6" t="str"/>
    </x:row>
    <x:row r="105" ht="15" hidden="0" customHeight="1">
      <x:c r="A105" s="7" t="n">
        <x:v>104</x:v>
      </x:c>
      <x:c r="B105" s="6" t="str">
        <x:v>deck_18</x:v>
      </x:c>
      <x:c r="C105" s="7" t="n">
        <x:v>1</x:v>
      </x:c>
      <x:c r="D105" s="7" t="n">
        <x:v>19</x:v>
      </x:c>
      <x:c r="E105" s="6" t="str"/>
    </x:row>
    <x:row r="106" ht="15" hidden="0" customHeight="1">
      <x:c r="A106" s="7" t="n">
        <x:v>105</x:v>
      </x:c>
      <x:c r="B106" s="6" t="str">
        <x:v>deck_18</x:v>
      </x:c>
      <x:c r="C106" s="7" t="n">
        <x:v>2</x:v>
      </x:c>
      <x:c r="D106" s="7" t="n">
        <x:v>30</x:v>
      </x:c>
      <x:c r="E106" s="6" t="str"/>
    </x:row>
    <x:row r="107" ht="15" hidden="0" customHeight="1">
      <x:c r="A107" s="7" t="n">
        <x:v>106</x:v>
      </x:c>
      <x:c r="B107" s="6" t="str">
        <x:v>deck_18</x:v>
      </x:c>
      <x:c r="C107" s="7" t="n">
        <x:v>3</x:v>
      </x:c>
      <x:c r="D107" s="7" t="n">
        <x:v>12</x:v>
      </x:c>
      <x:c r="E107" s="6" t="str"/>
    </x:row>
    <x:row r="108" ht="15" hidden="0" customHeight="1">
      <x:c r="A108" s="7" t="n">
        <x:v>107</x:v>
      </x:c>
      <x:c r="B108" s="6" t="str">
        <x:v>deck_18</x:v>
      </x:c>
      <x:c r="C108" s="7" t="n">
        <x:v>4</x:v>
      </x:c>
      <x:c r="D108" s="7" t="n">
        <x:v>14</x:v>
      </x:c>
      <x:c r="E108" s="6" t="str"/>
    </x:row>
    <x:row r="109" ht="15" hidden="0" customHeight="1">
      <x:c r="A109" s="7" t="n">
        <x:v>108</x:v>
      </x:c>
      <x:c r="B109" s="6" t="str">
        <x:v>deck_18</x:v>
      </x:c>
      <x:c r="C109" s="7" t="n">
        <x:v>5</x:v>
      </x:c>
      <x:c r="D109" s="7" t="n">
        <x:v>23</x:v>
      </x:c>
      <x:c r="E109" s="6" t="str"/>
    </x:row>
    <x:row r="110" ht="15" hidden="0" customHeight="1">
      <x:c r="A110" s="7" t="n">
        <x:v>109</x:v>
      </x:c>
      <x:c r="B110" s="6" t="str">
        <x:v>deck_19</x:v>
      </x:c>
      <x:c r="C110" s="7" t="n">
        <x:v>0</x:v>
      </x:c>
      <x:c r="D110" s="7" t="n">
        <x:v>21</x:v>
      </x:c>
      <x:c r="E110" s="6" t="str"/>
    </x:row>
    <x:row r="111" ht="15" hidden="0" customHeight="1">
      <x:c r="A111" s="7" t="n">
        <x:v>110</x:v>
      </x:c>
      <x:c r="B111" s="6" t="str">
        <x:v>deck_19</x:v>
      </x:c>
      <x:c r="C111" s="7" t="n">
        <x:v>1</x:v>
      </x:c>
      <x:c r="D111" s="7" t="n">
        <x:v>22</x:v>
      </x:c>
      <x:c r="E111" s="6" t="str"/>
    </x:row>
    <x:row r="112" ht="15" hidden="0" customHeight="1">
      <x:c r="A112" s="7" t="n">
        <x:v>111</x:v>
      </x:c>
      <x:c r="B112" s="6" t="str">
        <x:v>deck_19</x:v>
      </x:c>
      <x:c r="C112" s="7" t="n">
        <x:v>2</x:v>
      </x:c>
      <x:c r="D112" s="7" t="n">
        <x:v>29</x:v>
      </x:c>
      <x:c r="E112" s="6" t="str"/>
    </x:row>
    <x:row r="113" ht="15" hidden="0" customHeight="1">
      <x:c r="A113" s="7" t="n">
        <x:v>112</x:v>
      </x:c>
      <x:c r="B113" s="6" t="str">
        <x:v>deck_19</x:v>
      </x:c>
      <x:c r="C113" s="7" t="n">
        <x:v>3</x:v>
      </x:c>
      <x:c r="D113" s="7" t="n">
        <x:v>30</x:v>
      </x:c>
      <x:c r="E113" s="6" t="str"/>
    </x:row>
    <x:row r="114" ht="15" hidden="0" customHeight="1">
      <x:c r="A114" s="7" t="n">
        <x:v>113</x:v>
      </x:c>
      <x:c r="B114" s="6" t="str">
        <x:v>deck_19</x:v>
      </x:c>
      <x:c r="C114" s="7" t="n">
        <x:v>4</x:v>
      </x:c>
      <x:c r="D114" s="7" t="n">
        <x:v>6</x:v>
      </x:c>
      <x:c r="E114" s="6" t="str"/>
    </x:row>
    <x:row r="115" ht="15" hidden="0" customHeight="1">
      <x:c r="A115" s="7" t="n">
        <x:v>114</x:v>
      </x:c>
      <x:c r="B115" s="6" t="str">
        <x:v>deck_19</x:v>
      </x:c>
      <x:c r="C115" s="7" t="n">
        <x:v>5</x:v>
      </x:c>
      <x:c r="D115" s="7" t="n">
        <x:v>27</x:v>
      </x:c>
      <x:c r="E115" s="6" t="str"/>
    </x:row>
    <x:row r="116" ht="15" hidden="0" customHeight="1">
      <x:c r="A116" s="7" t="n">
        <x:v>115</x:v>
      </x:c>
      <x:c r="B116" s="6" t="str">
        <x:v>deck_20</x:v>
      </x:c>
      <x:c r="C116" s="7" t="n">
        <x:v>0</x:v>
      </x:c>
      <x:c r="D116" s="7" t="n">
        <x:v>23</x:v>
      </x:c>
      <x:c r="E116" s="6" t="str"/>
    </x:row>
    <x:row r="117" ht="15" hidden="0" customHeight="1">
      <x:c r="A117" s="7" t="n">
        <x:v>116</x:v>
      </x:c>
      <x:c r="B117" s="6" t="str">
        <x:v>deck_20</x:v>
      </x:c>
      <x:c r="C117" s="7" t="n">
        <x:v>1</x:v>
      </x:c>
      <x:c r="D117" s="7" t="n">
        <x:v>24</x:v>
      </x:c>
      <x:c r="E117" s="6" t="str"/>
    </x:row>
    <x:row r="118" ht="15" hidden="0" customHeight="1">
      <x:c r="A118" s="7" t="n">
        <x:v>117</x:v>
      </x:c>
      <x:c r="B118" s="6" t="str">
        <x:v>deck_20</x:v>
      </x:c>
      <x:c r="C118" s="7" t="n">
        <x:v>2</x:v>
      </x:c>
      <x:c r="D118" s="7" t="n">
        <x:v>29</x:v>
      </x:c>
      <x:c r="E118" s="6" t="str"/>
    </x:row>
    <x:row r="119" ht="15" hidden="0" customHeight="1">
      <x:c r="A119" s="7" t="n">
        <x:v>118</x:v>
      </x:c>
      <x:c r="B119" s="6" t="str">
        <x:v>deck_20</x:v>
      </x:c>
      <x:c r="C119" s="7" t="n">
        <x:v>3</x:v>
      </x:c>
      <x:c r="D119" s="7" t="n">
        <x:v>30</x:v>
      </x:c>
      <x:c r="E119" s="6" t="str"/>
    </x:row>
    <x:row r="120" ht="15" hidden="0" customHeight="1">
      <x:c r="A120" s="7" t="n">
        <x:v>119</x:v>
      </x:c>
      <x:c r="B120" s="6" t="str">
        <x:v>deck_20</x:v>
      </x:c>
      <x:c r="C120" s="7" t="n">
        <x:v>4</x:v>
      </x:c>
      <x:c r="D120" s="7" t="n">
        <x:v>28</x:v>
      </x:c>
      <x:c r="E120" s="6" t="str"/>
    </x:row>
    <x:row r="121" ht="15" hidden="0" customHeight="1">
      <x:c r="A121" s="7" t="n">
        <x:v>120</x:v>
      </x:c>
      <x:c r="B121" s="6" t="str">
        <x:v>deck_20</x:v>
      </x:c>
      <x:c r="C121" s="7" t="n">
        <x:v>5</x:v>
      </x:c>
      <x:c r="D121" s="7" t="n">
        <x:v>27</x:v>
      </x:c>
      <x:c r="E121" s="6" t="str"/>
    </x:row>
    <x:row r="122" ht="15" hidden="0" customHeight="1">
      <x:c r="A122" s="7" t="n">
        <x:v>121</x:v>
      </x:c>
      <x:c r="B122" s="6" t="str">
        <x:v>deck_21</x:v>
      </x:c>
      <x:c r="C122" s="7" t="n">
        <x:v>0</x:v>
      </x:c>
      <x:c r="D122" s="7" t="n">
        <x:v>17</x:v>
      </x:c>
      <x:c r="E122" s="6" t="str"/>
    </x:row>
    <x:row r="123" ht="15" hidden="0" customHeight="1">
      <x:c r="A123" s="7" t="n">
        <x:v>122</x:v>
      </x:c>
      <x:c r="B123" s="6" t="str">
        <x:v>deck_21</x:v>
      </x:c>
      <x:c r="C123" s="7" t="n">
        <x:v>1</x:v>
      </x:c>
      <x:c r="D123" s="7" t="n">
        <x:v>18</x:v>
      </x:c>
      <x:c r="E123" s="6" t="str"/>
    </x:row>
    <x:row r="124" ht="15" hidden="0" customHeight="1">
      <x:c r="A124" s="7" t="n">
        <x:v>123</x:v>
      </x:c>
      <x:c r="B124" s="6" t="str">
        <x:v>deck_21</x:v>
      </x:c>
      <x:c r="C124" s="7" t="n">
        <x:v>2</x:v>
      </x:c>
      <x:c r="D124" s="7" t="n">
        <x:v>20</x:v>
      </x:c>
      <x:c r="E124" s="6" t="str"/>
    </x:row>
    <x:row r="125" ht="15" hidden="0" customHeight="1">
      <x:c r="A125" s="7" t="n">
        <x:v>124</x:v>
      </x:c>
      <x:c r="B125" s="6" t="str">
        <x:v>deck_21</x:v>
      </x:c>
      <x:c r="C125" s="7" t="n">
        <x:v>3</x:v>
      </x:c>
      <x:c r="D125" s="7" t="n">
        <x:v>19</x:v>
      </x:c>
      <x:c r="E125" s="6" t="str"/>
    </x:row>
    <x:row r="126" ht="15" hidden="0" customHeight="1">
      <x:c r="A126" s="7" t="n">
        <x:v>125</x:v>
      </x:c>
      <x:c r="B126" s="6" t="str">
        <x:v>deck_21</x:v>
      </x:c>
      <x:c r="C126" s="7" t="n">
        <x:v>4</x:v>
      </x:c>
      <x:c r="D126" s="7" t="n">
        <x:v>30</x:v>
      </x:c>
      <x:c r="E126" s="6" t="str"/>
    </x:row>
    <x:row r="127" ht="15" hidden="0" customHeight="1">
      <x:c r="A127" s="7" t="n">
        <x:v>126</x:v>
      </x:c>
      <x:c r="B127" s="6" t="str">
        <x:v>deck_21</x:v>
      </x:c>
      <x:c r="C127" s="7" t="n">
        <x:v>5</x:v>
      </x:c>
      <x:c r="D127" s="7" t="n">
        <x:v>27</x:v>
      </x:c>
      <x:c r="E127" s="6" t="str"/>
    </x:row>
    <x:row r="128" ht="15" hidden="0" customHeight="1">
      <x:c r="A128" s="7" t="n">
        <x:v>127</x:v>
      </x:c>
      <x:c r="B128" s="6" t="str">
        <x:v>deck_22</x:v>
      </x:c>
      <x:c r="C128" s="7" t="n">
        <x:v>0</x:v>
      </x:c>
      <x:c r="D128" s="7" t="n">
        <x:v>5</x:v>
      </x:c>
      <x:c r="E128" s="6" t="str"/>
    </x:row>
    <x:row r="129" ht="15" hidden="0" customHeight="1">
      <x:c r="A129" s="7" t="n">
        <x:v>128</x:v>
      </x:c>
      <x:c r="B129" s="6" t="str">
        <x:v>deck_22</x:v>
      </x:c>
      <x:c r="C129" s="7" t="n">
        <x:v>1</x:v>
      </x:c>
      <x:c r="D129" s="7" t="n">
        <x:v>7</x:v>
      </x:c>
      <x:c r="E129" s="6" t="str"/>
    </x:row>
    <x:row r="130" ht="15" hidden="0" customHeight="1">
      <x:c r="A130" s="7" t="n">
        <x:v>129</x:v>
      </x:c>
      <x:c r="B130" s="6" t="str">
        <x:v>deck_22</x:v>
      </x:c>
      <x:c r="C130" s="7" t="n">
        <x:v>2</x:v>
      </x:c>
      <x:c r="D130" s="7" t="n">
        <x:v>29</x:v>
      </x:c>
      <x:c r="E130" s="6" t="str"/>
    </x:row>
    <x:row r="131" ht="15" hidden="0" customHeight="1">
      <x:c r="A131" s="7" t="n">
        <x:v>130</x:v>
      </x:c>
      <x:c r="B131" s="6" t="str">
        <x:v>deck_22</x:v>
      </x:c>
      <x:c r="C131" s="7" t="n">
        <x:v>3</x:v>
      </x:c>
      <x:c r="D131" s="7" t="n">
        <x:v>30</x:v>
      </x:c>
      <x:c r="E131" s="6" t="str"/>
    </x:row>
    <x:row r="132" ht="15" hidden="0" customHeight="1">
      <x:c r="A132" s="7" t="n">
        <x:v>131</x:v>
      </x:c>
      <x:c r="B132" s="6" t="str">
        <x:v>deck_22</x:v>
      </x:c>
      <x:c r="C132" s="7" t="n">
        <x:v>4</x:v>
      </x:c>
      <x:c r="D132" s="7" t="n">
        <x:v>28</x:v>
      </x:c>
      <x:c r="E132" s="6" t="str"/>
    </x:row>
    <x:row r="133" ht="15" hidden="0" customHeight="1">
      <x:c r="A133" s="7" t="n">
        <x:v>132</x:v>
      </x:c>
      <x:c r="B133" s="6" t="str">
        <x:v>deck_22</x:v>
      </x:c>
      <x:c r="C133" s="7" t="n">
        <x:v>5</x:v>
      </x:c>
      <x:c r="D133" s="7" t="n">
        <x:v>6</x:v>
      </x:c>
      <x:c r="E133" s="6" t="str"/>
    </x:row>
    <x:row r="136">
      <x:c r="A136" t="str">
        <x:v>출처: docs/SpecData/AIDeckCard_sheet.csv / 2026-09-18 로컬 스냅샷</x:v>
      </x:c>
    </x:row>
    <x:row r="137">
      <x:c r="A137" t="str">
        <x:v>퇴역 표. 계산에 사용하지 않음.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52" hidden="0" customWidth="1"/>
  </x:cols>
  <x:sheetData>
    <x:row r="1" ht="44" customHeight="1">
      <x:c r="A1" s="5" t="str">
        <x:v>id</x:v>
      </x:c>
      <x:c r="B1" s="5" t="str">
        <x:v>deckId</x:v>
      </x:c>
      <x:c r="C1" s="5" t="str">
        <x:v>deckName</x:v>
      </x:c>
      <x:c r="D1" s="5" t="str">
        <x:v>fromTier</x:v>
      </x:c>
      <x:c r="E1" s="5" t="str">
        <x:v>toTier</x:v>
      </x:c>
      <x:c r="F1" s="5" t="str">
        <x:v>weight</x:v>
      </x:c>
      <x:c r="G1" s="5" t="str">
        <x:v>fromLevel</x:v>
      </x:c>
      <x:c r="H1" s="5" t="str">
        <x:v>toLevel</x:v>
      </x:c>
      <x:c r="I1" s="5" t="str">
        <x:v>card1</x:v>
      </x:c>
      <x:c r="J1" s="5" t="str">
        <x:v>card2</x:v>
      </x:c>
      <x:c r="K1" s="5" t="str">
        <x:v>card3</x:v>
      </x:c>
      <x:c r="L1" s="5" t="str">
        <x:v>card4</x:v>
      </x:c>
      <x:c r="M1" s="5" t="str">
        <x:v>card5</x:v>
      </x:c>
      <x:c r="N1" s="5" t="str">
        <x:v>card6</x:v>
      </x:c>
      <x:c r="O1" s="5" t="str">
        <x:v>#memo</x:v>
      </x:c>
    </x:row>
    <x:row r="2" ht="15" hidden="0" customHeight="1">
      <x:c r="A2" s="7" t="n">
        <x:v>1</x:v>
      </x:c>
      <x:c r="B2" s="6" t="str">
        <x:v>deck_01</x:v>
      </x:c>
      <x:c r="C2" s="6" t="str">
        <x:v>낙인 + 포식자</x:v>
      </x:c>
      <x:c r="D2" s="7" t="n">
        <x:v>9</x:v>
      </x:c>
      <x:c r="E2" s="7" t="n">
        <x:v>19</x:v>
      </x:c>
      <x:c r="F2" s="7" t="n">
        <x:v>1</x:v>
      </x:c>
      <x:c r="G2" s="7" t="n">
        <x:v>1</x:v>
      </x:c>
      <x:c r="H2" s="7" t="n">
        <x:v>1</x:v>
      </x:c>
      <x:c r="I2" s="7" t="n">
        <x:v>20</x:v>
      </x:c>
      <x:c r="J2" s="7" t="n">
        <x:v>18</x:v>
      </x:c>
      <x:c r="K2" s="7" t="n">
        <x:v>19</x:v>
      </x:c>
      <x:c r="L2" s="7" t="n">
        <x:v>6</x:v>
      </x:c>
      <x:c r="M2" s="7" t="n">
        <x:v>13</x:v>
      </x:c>
      <x:c r="N2" s="7" t="n">
        <x:v>14</x:v>
      </x:c>
      <x:c r="O2" s="6" t="str">
        <x:v>역할별 체력 조정 반영 / 무키워드 추가타 없음</x:v>
      </x:c>
    </x:row>
    <x:row r="3" ht="15" hidden="0" customHeight="1">
      <x:c r="A3" s="7" t="n">
        <x:v>2</x:v>
      </x:c>
      <x:c r="B3" s="6" t="str">
        <x:v>deck_02</x:v>
      </x:c>
      <x:c r="C3" s="6" t="str">
        <x:v>낙인 + 비늘</x:v>
      </x:c>
      <x:c r="D3" s="7" t="n">
        <x:v>9</x:v>
      </x:c>
      <x:c r="E3" s="7" t="n">
        <x:v>19</x:v>
      </x:c>
      <x:c r="F3" s="7" t="n">
        <x:v>1</x:v>
      </x:c>
      <x:c r="G3" s="7" t="n">
        <x:v>1</x:v>
      </x:c>
      <x:c r="H3" s="7" t="n">
        <x:v>1</x:v>
      </x:c>
      <x:c r="I3" s="7" t="n">
        <x:v>20</x:v>
      </x:c>
      <x:c r="J3" s="7" t="n">
        <x:v>18</x:v>
      </x:c>
      <x:c r="K3" s="7" t="n">
        <x:v>19</x:v>
      </x:c>
      <x:c r="L3" s="7" t="n">
        <x:v>4</x:v>
      </x:c>
      <x:c r="M3" s="7" t="n">
        <x:v>37</x:v>
      </x:c>
      <x:c r="N3" s="7" t="n">
        <x:v>31</x:v>
      </x:c>
      <x:c r="O3" s="6" t="str">
        <x:v>역할별 체력 조정 반영 / 무키워드 추가타 없음</x:v>
      </x:c>
    </x:row>
    <x:row r="4" ht="15" hidden="0" customHeight="1">
      <x:c r="A4" s="7" t="n">
        <x:v>3</x:v>
      </x:c>
      <x:c r="B4" s="6" t="str">
        <x:v>deck_03</x:v>
      </x:c>
      <x:c r="C4" s="6" t="str">
        <x:v>돌보미 + 유산</x:v>
      </x:c>
      <x:c r="D4" s="7" t="n">
        <x:v>9</x:v>
      </x:c>
      <x:c r="E4" s="7" t="n">
        <x:v>19</x:v>
      </x:c>
      <x:c r="F4" s="7" t="n">
        <x:v>1</x:v>
      </x:c>
      <x:c r="G4" s="7" t="n">
        <x:v>1</x:v>
      </x:c>
      <x:c r="H4" s="7" t="n">
        <x:v>1</x:v>
      </x:c>
      <x:c r="I4" s="7" t="n">
        <x:v>4</x:v>
      </x:c>
      <x:c r="J4" s="7" t="n">
        <x:v>2</x:v>
      </x:c>
      <x:c r="K4" s="7" t="n">
        <x:v>1</x:v>
      </x:c>
      <x:c r="L4" s="7" t="n">
        <x:v>6</x:v>
      </x:c>
      <x:c r="M4" s="7" t="n">
        <x:v>28</x:v>
      </x:c>
      <x:c r="N4" s="7" t="n">
        <x:v>12</x:v>
      </x:c>
      <x:c r="O4" s="6" t="str">
        <x:v>역할별 체력 조정 반영 / 무키워드 추가타 없음</x:v>
      </x:c>
    </x:row>
    <x:row r="5" ht="15" hidden="0" customHeight="1">
      <x:c r="A5" s="7" t="n">
        <x:v>4</x:v>
      </x:c>
      <x:c r="B5" s="6" t="str">
        <x:v>deck_04</x:v>
      </x:c>
      <x:c r="C5" s="6" t="str">
        <x:v>돌보미 + 덩치</x:v>
      </x:c>
      <x:c r="D5" s="7" t="n">
        <x:v>9</x:v>
      </x:c>
      <x:c r="E5" s="7" t="n">
        <x:v>19</x:v>
      </x:c>
      <x:c r="F5" s="7" t="n">
        <x:v>1</x:v>
      </x:c>
      <x:c r="G5" s="7" t="n">
        <x:v>1</x:v>
      </x:c>
      <x:c r="H5" s="7" t="n">
        <x:v>1</x:v>
      </x:c>
      <x:c r="I5" s="7" t="n">
        <x:v>4</x:v>
      </x:c>
      <x:c r="J5" s="7" t="n">
        <x:v>2</x:v>
      </x:c>
      <x:c r="K5" s="7" t="n">
        <x:v>32</x:v>
      </x:c>
      <x:c r="L5" s="7" t="n">
        <x:v>27</x:v>
      </x:c>
      <x:c r="M5" s="7" t="n">
        <x:v>6</x:v>
      </x:c>
      <x:c r="N5" s="7" t="n">
        <x:v>38</x:v>
      </x:c>
      <x:c r="O5" s="6" t="str">
        <x:v>역할별 체력 조정 반영 / 무키워드 추가타 없음</x:v>
      </x:c>
    </x:row>
    <x:row r="6" ht="15" hidden="0" customHeight="1">
      <x:c r="A6" s="7" t="n">
        <x:v>5</x:v>
      </x:c>
      <x:c r="B6" s="6" t="str">
        <x:v>deck_05</x:v>
      </x:c>
      <x:c r="C6" s="6" t="str">
        <x:v>흐름 + 비늘</x:v>
      </x:c>
      <x:c r="D6" s="7" t="n">
        <x:v>9</x:v>
      </x:c>
      <x:c r="E6" s="7" t="n">
        <x:v>19</x:v>
      </x:c>
      <x:c r="F6" s="7" t="n">
        <x:v>1</x:v>
      </x:c>
      <x:c r="G6" s="7" t="n">
        <x:v>1</x:v>
      </x:c>
      <x:c r="H6" s="7" t="n">
        <x:v>1</x:v>
      </x:c>
      <x:c r="I6" s="7" t="n">
        <x:v>15</x:v>
      </x:c>
      <x:c r="J6" s="7" t="n">
        <x:v>16</x:v>
      </x:c>
      <x:c r="K6" s="7" t="n">
        <x:v>25</x:v>
      </x:c>
      <x:c r="L6" s="7" t="n">
        <x:v>20</x:v>
      </x:c>
      <x:c r="M6" s="7" t="n">
        <x:v>29</x:v>
      </x:c>
      <x:c r="N6" s="7" t="n">
        <x:v>37</x:v>
      </x:c>
      <x:c r="O6" s="6" t="str">
        <x:v>역할별 체력 조정 반영 / 무키워드 추가타 없음</x:v>
      </x:c>
    </x:row>
    <x:row r="7" ht="15" hidden="0" customHeight="1">
      <x:c r="A7" s="7" t="n">
        <x:v>6</x:v>
      </x:c>
      <x:c r="B7" s="6" t="str">
        <x:v>deck_06</x:v>
      </x:c>
      <x:c r="C7" s="6" t="str">
        <x:v>흐름 + 덩치</x:v>
      </x:c>
      <x:c r="D7" s="7" t="n">
        <x:v>9</x:v>
      </x:c>
      <x:c r="E7" s="7" t="n">
        <x:v>19</x:v>
      </x:c>
      <x:c r="F7" s="7" t="n">
        <x:v>1</x:v>
      </x:c>
      <x:c r="G7" s="7" t="n">
        <x:v>1</x:v>
      </x:c>
      <x:c r="H7" s="7" t="n">
        <x:v>1</x:v>
      </x:c>
      <x:c r="I7" s="7" t="n">
        <x:v>15</x:v>
      </x:c>
      <x:c r="J7" s="7" t="n">
        <x:v>16</x:v>
      </x:c>
      <x:c r="K7" s="7" t="n">
        <x:v>25</x:v>
      </x:c>
      <x:c r="L7" s="7" t="n">
        <x:v>20</x:v>
      </x:c>
      <x:c r="M7" s="7" t="n">
        <x:v>6</x:v>
      </x:c>
      <x:c r="N7" s="7" t="n">
        <x:v>38</x:v>
      </x:c>
      <x:c r="O7" s="6" t="str">
        <x:v>역할별 체력 조정 반영 / 무키워드 추가타 없음</x:v>
      </x:c>
    </x:row>
    <x:row r="8" ht="15" hidden="0" customHeight="1">
      <x:c r="A8" s="7" t="n">
        <x:v>7</x:v>
      </x:c>
      <x:c r="B8" s="6" t="str">
        <x:v>deck_07</x:v>
      </x:c>
      <x:c r="C8" s="6" t="str">
        <x:v>추적 + 덩치</x:v>
      </x:c>
      <x:c r="D8" s="7" t="n">
        <x:v>9</x:v>
      </x:c>
      <x:c r="E8" s="7" t="n">
        <x:v>19</x:v>
      </x:c>
      <x:c r="F8" s="7" t="n">
        <x:v>1</x:v>
      </x:c>
      <x:c r="G8" s="7" t="n">
        <x:v>1</x:v>
      </x:c>
      <x:c r="H8" s="7" t="n">
        <x:v>1</x:v>
      </x:c>
      <x:c r="I8" s="7" t="n">
        <x:v>8</x:v>
      </x:c>
      <x:c r="J8" s="7" t="n">
        <x:v>9</x:v>
      </x:c>
      <x:c r="K8" s="7" t="n">
        <x:v>10</x:v>
      </x:c>
      <x:c r="L8" s="7" t="n">
        <x:v>20</x:v>
      </x:c>
      <x:c r="M8" s="7" t="n">
        <x:v>6</x:v>
      </x:c>
      <x:c r="N8" s="7" t="n">
        <x:v>27</x:v>
      </x:c>
      <x:c r="O8" s="6" t="str">
        <x:v>역할별 체력 조정 반영 / 무키워드 추가타 없음</x:v>
      </x:c>
    </x:row>
    <x:row r="9" ht="15" hidden="0" customHeight="1">
      <x:c r="A9" s="7" t="n">
        <x:v>8</x:v>
      </x:c>
      <x:c r="B9" s="6" t="str">
        <x:v>deck_08</x:v>
      </x:c>
      <x:c r="C9" s="6" t="str">
        <x:v>유산 돌격대</x:v>
      </x:c>
      <x:c r="D9" s="7" t="n">
        <x:v>9</x:v>
      </x:c>
      <x:c r="E9" s="7" t="n">
        <x:v>19</x:v>
      </x:c>
      <x:c r="F9" s="7" t="n">
        <x:v>1</x:v>
      </x:c>
      <x:c r="G9" s="7" t="n">
        <x:v>1</x:v>
      </x:c>
      <x:c r="H9" s="7" t="n">
        <x:v>1</x:v>
      </x:c>
      <x:c r="I9" s="7" t="n">
        <x:v>5</x:v>
      </x:c>
      <x:c r="J9" s="7" t="n">
        <x:v>6</x:v>
      </x:c>
      <x:c r="K9" s="7" t="n">
        <x:v>33</x:v>
      </x:c>
      <x:c r="L9" s="7" t="n">
        <x:v>28</x:v>
      </x:c>
      <x:c r="M9" s="7" t="n">
        <x:v>12</x:v>
      </x:c>
      <x:c r="N9" s="7" t="n">
        <x:v>10</x:v>
      </x:c>
      <x:c r="O9" s="6" t="str">
        <x:v>역할별 체력 조정 반영 / 무키워드 추가타 없음</x:v>
      </x:c>
    </x:row>
    <x:row r="10" ht="15" hidden="0" customHeight="1">
      <x:c r="A10" s="7" t="n">
        <x:v>9</x:v>
      </x:c>
      <x:c r="B10" s="6" t="str">
        <x:v>deck_09</x:v>
      </x:c>
      <x:c r="C10" s="6" t="str">
        <x:v>비늘·덩치·포식자</x:v>
      </x:c>
      <x:c r="D10" s="7" t="n">
        <x:v>16</x:v>
      </x:c>
      <x:c r="E10" s="7" t="n">
        <x:v>19</x:v>
      </x:c>
      <x:c r="F10" s="7" t="n">
        <x:v>1</x:v>
      </x:c>
      <x:c r="G10" s="7" t="n">
        <x:v>1</x:v>
      </x:c>
      <x:c r="H10" s="7" t="n">
        <x:v>1</x:v>
      </x:c>
      <x:c r="I10" s="7" t="n">
        <x:v>31</x:v>
      </x:c>
      <x:c r="J10" s="7" t="n">
        <x:v>37</x:v>
      </x:c>
      <x:c r="K10" s="7" t="n">
        <x:v>38</x:v>
      </x:c>
      <x:c r="L10" s="7" t="n">
        <x:v>6</x:v>
      </x:c>
      <x:c r="M10" s="7" t="n">
        <x:v>39</x:v>
      </x:c>
      <x:c r="N10" s="7" t="n">
        <x:v>14</x:v>
      </x:c>
      <x:c r="O10" s="6" t="str">
        <x:v>역할별 체력 조정 반영 / 무키워드 추가타 없음</x:v>
      </x:c>
    </x:row>
    <x:row r="11" ht="15" hidden="0" customHeight="1">
      <x:c r="A11" s="7" t="n">
        <x:v>10</x:v>
      </x:c>
      <x:c r="B11" s="6" t="str">
        <x:v>deck_10</x:v>
      </x:c>
      <x:c r="C11" s="6" t="str">
        <x:v>돌무리 입문</x:v>
      </x:c>
      <x:c r="D11" s="7" t="n">
        <x:v>0</x:v>
      </x:c>
      <x:c r="E11" s="7" t="n">
        <x:v>3</x:v>
      </x:c>
      <x:c r="F11" s="7" t="n">
        <x:v>1</x:v>
      </x:c>
      <x:c r="G11" s="7" t="n">
        <x:v>1</x:v>
      </x:c>
      <x:c r="H11" s="7" t="n">
        <x:v>1</x:v>
      </x:c>
      <x:c r="I11" s="7" t="n">
        <x:v>29</x:v>
      </x:c>
      <x:c r="J11" s="7" t="n">
        <x:v>20</x:v>
      </x:c>
      <x:c r="K11" s="7" t="n">
        <x:v>18</x:v>
      </x:c>
      <x:c r="L11" s="7" t="n">
        <x:v>4</x:v>
      </x:c>
      <x:c r="M11" s="7" t="n">
        <x:v>6</x:v>
      </x:c>
      <x:c r="N11" s="7" t="n">
        <x:v>27</x:v>
      </x:c>
      <x:c r="O11" s="6" t="str">
        <x:v>역할별 체력 조정 반영 / 무키워드 추가타 없음</x:v>
      </x:c>
    </x:row>
    <x:row r="12" ht="15" hidden="0" customHeight="1">
      <x:c r="A12" s="7" t="n">
        <x:v>11</x:v>
      </x:c>
      <x:c r="B12" s="6" t="str">
        <x:v>deck_11</x:v>
      </x:c>
      <x:c r="C12" s="6" t="str">
        <x:v>숲그늘 입문</x:v>
      </x:c>
      <x:c r="D12" s="7" t="n">
        <x:v>0</x:v>
      </x:c>
      <x:c r="E12" s="7" t="n">
        <x:v>3</x:v>
      </x:c>
      <x:c r="F12" s="7" t="n">
        <x:v>1</x:v>
      </x:c>
      <x:c r="G12" s="7" t="n">
        <x:v>1</x:v>
      </x:c>
      <x:c r="H12" s="7" t="n">
        <x:v>1</x:v>
      </x:c>
      <x:c r="I12" s="7" t="n">
        <x:v>29</x:v>
      </x:c>
      <x:c r="J12" s="7" t="n">
        <x:v>4</x:v>
      </x:c>
      <x:c r="K12" s="7" t="n">
        <x:v>17</x:v>
      </x:c>
      <x:c r="L12" s="7" t="n">
        <x:v>20</x:v>
      </x:c>
      <x:c r="M12" s="7" t="n">
        <x:v>11</x:v>
      </x:c>
      <x:c r="N12" s="7" t="n">
        <x:v>26</x:v>
      </x:c>
      <x:c r="O12" s="6" t="str">
        <x:v>역할별 체력 조정 반영 / 무키워드 추가타 없음</x:v>
      </x:c>
    </x:row>
    <x:row r="13" ht="15" hidden="0" customHeight="1">
      <x:c r="A13" s="7" t="n">
        <x:v>12</x:v>
      </x:c>
      <x:c r="B13" s="6" t="str">
        <x:v>deck_12</x:v>
      </x:c>
      <x:c r="C13" s="6" t="str">
        <x:v>원거리 엄호</x:v>
      </x:c>
      <x:c r="D13" s="7" t="n">
        <x:v>1</x:v>
      </x:c>
      <x:c r="E13" s="7" t="n">
        <x:v>5</x:v>
      </x:c>
      <x:c r="F13" s="7" t="n">
        <x:v>1</x:v>
      </x:c>
      <x:c r="G13" s="7" t="n">
        <x:v>1</x:v>
      </x:c>
      <x:c r="H13" s="7" t="n">
        <x:v>1</x:v>
      </x:c>
      <x:c r="I13" s="7" t="n">
        <x:v>17</x:v>
      </x:c>
      <x:c r="J13" s="7" t="n">
        <x:v>18</x:v>
      </x:c>
      <x:c r="K13" s="7" t="n">
        <x:v>2</x:v>
      </x:c>
      <x:c r="L13" s="7" t="n">
        <x:v>20</x:v>
      </x:c>
      <x:c r="M13" s="7" t="n">
        <x:v>6</x:v>
      </x:c>
      <x:c r="N13" s="7" t="n">
        <x:v>27</x:v>
      </x:c>
      <x:c r="O13" s="6" t="str">
        <x:v>역할별 체력 조정 반영 / 무키워드 추가타 없음</x:v>
      </x:c>
    </x:row>
    <x:row r="14" ht="15" hidden="0" customHeight="1">
      <x:c r="A14" s="7" t="n">
        <x:v>13</x:v>
      </x:c>
      <x:c r="B14" s="6" t="str">
        <x:v>deck_13</x:v>
      </x:c>
      <x:c r="C14" s="6" t="str">
        <x:v>비늘 방벽</x:v>
      </x:c>
      <x:c r="D14" s="7" t="n">
        <x:v>1</x:v>
      </x:c>
      <x:c r="E14" s="7" t="n">
        <x:v>5</x:v>
      </x:c>
      <x:c r="F14" s="7" t="n">
        <x:v>1</x:v>
      </x:c>
      <x:c r="G14" s="7" t="n">
        <x:v>1</x:v>
      </x:c>
      <x:c r="H14" s="7" t="n">
        <x:v>1</x:v>
      </x:c>
      <x:c r="I14" s="7" t="n">
        <x:v>29</x:v>
      </x:c>
      <x:c r="J14" s="7" t="n">
        <x:v>20</x:v>
      </x:c>
      <x:c r="K14" s="7" t="n">
        <x:v>5</x:v>
      </x:c>
      <x:c r="L14" s="7" t="n">
        <x:v>37</x:v>
      </x:c>
      <x:c r="M14" s="7" t="n">
        <x:v>28</x:v>
      </x:c>
      <x:c r="N14" s="7" t="n">
        <x:v>2</x:v>
      </x:c>
      <x:c r="O14" s="6" t="str">
        <x:v>역할별 체력 조정 반영 / 무키워드 추가타 없음</x:v>
      </x:c>
    </x:row>
    <x:row r="15" ht="15" hidden="0" customHeight="1">
      <x:c r="A15" s="7" t="n">
        <x:v>14</x:v>
      </x:c>
      <x:c r="B15" s="6" t="str">
        <x:v>deck_14</x:v>
      </x:c>
      <x:c r="C15" s="6" t="str">
        <x:v>추적 입문</x:v>
      </x:c>
      <x:c r="D15" s="7" t="n">
        <x:v>1</x:v>
      </x:c>
      <x:c r="E15" s="7" t="n">
        <x:v>5</x:v>
      </x:c>
      <x:c r="F15" s="7" t="n">
        <x:v>1</x:v>
      </x:c>
      <x:c r="G15" s="7" t="n">
        <x:v>1</x:v>
      </x:c>
      <x:c r="H15" s="7" t="n">
        <x:v>1</x:v>
      </x:c>
      <x:c r="I15" s="7" t="n">
        <x:v>20</x:v>
      </x:c>
      <x:c r="J15" s="7" t="n">
        <x:v>18</x:v>
      </x:c>
      <x:c r="K15" s="7" t="n">
        <x:v>9</x:v>
      </x:c>
      <x:c r="L15" s="7" t="n">
        <x:v>4</x:v>
      </x:c>
      <x:c r="M15" s="7" t="n">
        <x:v>8</x:v>
      </x:c>
      <x:c r="N15" s="7" t="n">
        <x:v>6</x:v>
      </x:c>
      <x:c r="O15" s="6" t="str">
        <x:v>역할별 체력 조정 반영 / 무키워드 추가타 없음</x:v>
      </x:c>
    </x:row>
    <x:row r="16" ht="15" hidden="0" customHeight="1">
      <x:c r="A16" s="7" t="n">
        <x:v>15</x:v>
      </x:c>
      <x:c r="B16" s="6" t="str">
        <x:v>deck_15</x:v>
      </x:c>
      <x:c r="C16" s="6" t="str">
        <x:v>처형 추격대</x:v>
      </x:c>
      <x:c r="D16" s="7" t="n">
        <x:v>3</x:v>
      </x:c>
      <x:c r="E16" s="7" t="n">
        <x:v>6</x:v>
      </x:c>
      <x:c r="F16" s="7" t="n">
        <x:v>1</x:v>
      </x:c>
      <x:c r="G16" s="7" t="n">
        <x:v>1</x:v>
      </x:c>
      <x:c r="H16" s="7" t="n">
        <x:v>1</x:v>
      </x:c>
      <x:c r="I16" s="7" t="n">
        <x:v>19</x:v>
      </x:c>
      <x:c r="J16" s="7" t="n">
        <x:v>13</x:v>
      </x:c>
      <x:c r="K16" s="7" t="n">
        <x:v>20</x:v>
      </x:c>
      <x:c r="L16" s="7" t="n">
        <x:v>25</x:v>
      </x:c>
      <x:c r="M16" s="7" t="n">
        <x:v>6</x:v>
      </x:c>
      <x:c r="N16" s="7" t="n">
        <x:v>3</x:v>
      </x:c>
      <x:c r="O16" s="6" t="str">
        <x:v>역할별 체력 조정 반영 / 무키워드 추가타 없음</x:v>
      </x:c>
    </x:row>
    <x:row r="17" ht="15" hidden="0" customHeight="1">
      <x:c r="A17" s="7" t="n">
        <x:v>16</x:v>
      </x:c>
      <x:c r="B17" s="6" t="str">
        <x:v>deck_16</x:v>
      </x:c>
      <x:c r="C17" s="6" t="str">
        <x:v>돌보미 치유대</x:v>
      </x:c>
      <x:c r="D17" s="7" t="n">
        <x:v>3</x:v>
      </x:c>
      <x:c r="E17" s="7" t="n">
        <x:v>6</x:v>
      </x:c>
      <x:c r="F17" s="7" t="n">
        <x:v>1</x:v>
      </x:c>
      <x:c r="G17" s="7" t="n">
        <x:v>1</x:v>
      </x:c>
      <x:c r="H17" s="7" t="n">
        <x:v>1</x:v>
      </x:c>
      <x:c r="I17" s="7" t="n">
        <x:v>4</x:v>
      </x:c>
      <x:c r="J17" s="7" t="n">
        <x:v>1</x:v>
      </x:c>
      <x:c r="K17" s="7" t="n">
        <x:v>3</x:v>
      </x:c>
      <x:c r="L17" s="7" t="n">
        <x:v>2</x:v>
      </x:c>
      <x:c r="M17" s="7" t="n">
        <x:v>20</x:v>
      </x:c>
      <x:c r="N17" s="7" t="n">
        <x:v>7</x:v>
      </x:c>
      <x:c r="O17" s="6" t="str">
        <x:v>역할별 체력 조정 반영 / 무키워드 추가타 없음</x:v>
      </x:c>
    </x:row>
    <x:row r="18" ht="15" hidden="0" customHeight="1">
      <x:c r="A18" s="7" t="n">
        <x:v>17</x:v>
      </x:c>
      <x:c r="B18" s="6" t="str">
        <x:v>deck_17</x:v>
      </x:c>
      <x:c r="C18" s="6" t="str">
        <x:v>흐름 순환대</x:v>
      </x:c>
      <x:c r="D18" s="7" t="n">
        <x:v>6</x:v>
      </x:c>
      <x:c r="E18" s="7" t="n">
        <x:v>6</x:v>
      </x:c>
      <x:c r="F18" s="7" t="n">
        <x:v>1</x:v>
      </x:c>
      <x:c r="G18" s="7" t="n">
        <x:v>1</x:v>
      </x:c>
      <x:c r="H18" s="7" t="n">
        <x:v>1</x:v>
      </x:c>
      <x:c r="I18" s="7" t="n">
        <x:v>15</x:v>
      </x:c>
      <x:c r="J18" s="7" t="n">
        <x:v>16</x:v>
      </x:c>
      <x:c r="K18" s="7" t="n">
        <x:v>30</x:v>
      </x:c>
      <x:c r="L18" s="7" t="n">
        <x:v>25</x:v>
      </x:c>
      <x:c r="M18" s="7" t="n">
        <x:v>14</x:v>
      </x:c>
      <x:c r="N18" s="7" t="n">
        <x:v>6</x:v>
      </x:c>
      <x:c r="O18" s="6" t="str">
        <x:v>역할별 체력 조정 반영 / 무키워드 추가타 없음</x:v>
      </x:c>
    </x:row>
    <x:row r="19" ht="15" hidden="0" customHeight="1">
      <x:c r="A19" s="7" t="n">
        <x:v>18</x:v>
      </x:c>
      <x:c r="B19" s="6" t="str">
        <x:v>deck_18</x:v>
      </x:c>
      <x:c r="C19" s="6" t="str">
        <x:v>무쌍 돌격대</x:v>
      </x:c>
      <x:c r="D19" s="7" t="n">
        <x:v>6</x:v>
      </x:c>
      <x:c r="E19" s="7" t="n">
        <x:v>6</x:v>
      </x:c>
      <x:c r="F19" s="7" t="n">
        <x:v>1</x:v>
      </x:c>
      <x:c r="G19" s="7" t="n">
        <x:v>1</x:v>
      </x:c>
      <x:c r="H19" s="7" t="n">
        <x:v>1</x:v>
      </x:c>
      <x:c r="I19" s="7" t="n">
        <x:v>29</x:v>
      </x:c>
      <x:c r="J19" s="7" t="n">
        <x:v>19</x:v>
      </x:c>
      <x:c r="K19" s="7" t="n">
        <x:v>30</x:v>
      </x:c>
      <x:c r="L19" s="7" t="n">
        <x:v>12</x:v>
      </x:c>
      <x:c r="M19" s="7" t="n">
        <x:v>14</x:v>
      </x:c>
      <x:c r="N19" s="7" t="n">
        <x:v>6</x:v>
      </x:c>
      <x:c r="O19" s="6" t="str">
        <x:v>역할별 체력 조정 반영 / 무키워드 추가타 없음</x:v>
      </x:c>
    </x:row>
    <x:row r="20" ht="15" hidden="0" customHeight="1">
      <x:c r="A20" s="7" t="n">
        <x:v>19</x:v>
      </x:c>
      <x:c r="B20" s="6" t="str">
        <x:v>deck_19</x:v>
      </x:c>
      <x:c r="C20" s="6" t="str">
        <x:v>비늘 공격대</x:v>
      </x:c>
      <x:c r="D20" s="7" t="n">
        <x:v>7</x:v>
      </x:c>
      <x:c r="E20" s="7" t="n">
        <x:v>10</x:v>
      </x:c>
      <x:c r="F20" s="7" t="n">
        <x:v>1</x:v>
      </x:c>
      <x:c r="G20" s="7" t="n">
        <x:v>1</x:v>
      </x:c>
      <x:c r="H20" s="7" t="n">
        <x:v>1</x:v>
      </x:c>
      <x:c r="I20" s="7" t="n">
        <x:v>31</x:v>
      </x:c>
      <x:c r="J20" s="7" t="n">
        <x:v>37</x:v>
      </x:c>
      <x:c r="K20" s="7" t="n">
        <x:v>29</x:v>
      </x:c>
      <x:c r="L20" s="7" t="n">
        <x:v>20</x:v>
      </x:c>
      <x:c r="M20" s="7" t="n">
        <x:v>6</x:v>
      </x:c>
      <x:c r="N20" s="7" t="n">
        <x:v>27</x:v>
      </x:c>
      <x:c r="O20" s="6" t="str">
        <x:v>역할별 체력 조정 반영 / 무키워드 추가타 없음</x:v>
      </x:c>
    </x:row>
    <x:row r="21" ht="15" hidden="0" customHeight="1">
      <x:c r="A21" s="7" t="n">
        <x:v>20</x:v>
      </x:c>
      <x:c r="B21" s="6" t="str">
        <x:v>deck_20</x:v>
      </x:c>
      <x:c r="C21" s="6" t="str">
        <x:v>덩치 공격대</x:v>
      </x:c>
      <x:c r="D21" s="7" t="n">
        <x:v>7</x:v>
      </x:c>
      <x:c r="E21" s="7" t="n">
        <x:v>10</x:v>
      </x:c>
      <x:c r="F21" s="7" t="n">
        <x:v>1</x:v>
      </x:c>
      <x:c r="G21" s="7" t="n">
        <x:v>1</x:v>
      </x:c>
      <x:c r="H21" s="7" t="n">
        <x:v>1</x:v>
      </x:c>
      <x:c r="I21" s="7" t="n">
        <x:v>6</x:v>
      </x:c>
      <x:c r="J21" s="7" t="n">
        <x:v>38</x:v>
      </x:c>
      <x:c r="K21" s="7" t="n">
        <x:v>20</x:v>
      </x:c>
      <x:c r="L21" s="7" t="n">
        <x:v>30</x:v>
      </x:c>
      <x:c r="M21" s="7" t="n">
        <x:v>23</x:v>
      </x:c>
      <x:c r="N21" s="7" t="n">
        <x:v>27</x:v>
      </x:c>
      <x:c r="O21" s="6" t="str">
        <x:v>역할별 체력 조정 반영 / 무키워드 추가타 없음</x:v>
      </x:c>
    </x:row>
    <x:row r="22" ht="15" hidden="0" customHeight="1">
      <x:c r="A22" s="7" t="n">
        <x:v>21</x:v>
      </x:c>
      <x:c r="B22" s="6" t="str">
        <x:v>deck_21</x:v>
      </x:c>
      <x:c r="C22" s="6" t="str">
        <x:v>낙인 추격대</x:v>
      </x:c>
      <x:c r="D22" s="7" t="n">
        <x:v>7</x:v>
      </x:c>
      <x:c r="E22" s="7" t="n">
        <x:v>10</x:v>
      </x:c>
      <x:c r="F22" s="7" t="n">
        <x:v>1</x:v>
      </x:c>
      <x:c r="G22" s="7" t="n">
        <x:v>1</x:v>
      </x:c>
      <x:c r="H22" s="7" t="n">
        <x:v>1</x:v>
      </x:c>
      <x:c r="I22" s="7" t="n">
        <x:v>17</x:v>
      </x:c>
      <x:c r="J22" s="7" t="n">
        <x:v>18</x:v>
      </x:c>
      <x:c r="K22" s="7" t="n">
        <x:v>6</x:v>
      </x:c>
      <x:c r="L22" s="7" t="n">
        <x:v>19</x:v>
      </x:c>
      <x:c r="M22" s="7" t="n">
        <x:v>13</x:v>
      </x:c>
      <x:c r="N22" s="7" t="n">
        <x:v>14</x:v>
      </x:c>
      <x:c r="O22" s="6" t="str">
        <x:v>역할별 체력 조정 반영 / 무키워드 추가타 없음</x:v>
      </x:c>
    </x:row>
    <x:row r="23" ht="15" hidden="0" customHeight="1">
      <x:c r="A23" s="7" t="n">
        <x:v>22</x:v>
      </x:c>
      <x:c r="B23" s="6" t="str">
        <x:v>deck_22</x:v>
      </x:c>
      <x:c r="C23" s="6" t="str">
        <x:v>비늘 + 유산</x:v>
      </x:c>
      <x:c r="D23" s="7" t="n">
        <x:v>7</x:v>
      </x:c>
      <x:c r="E23" s="7" t="n">
        <x:v>10</x:v>
      </x:c>
      <x:c r="F23" s="7" t="n">
        <x:v>1</x:v>
      </x:c>
      <x:c r="G23" s="7" t="n">
        <x:v>1</x:v>
      </x:c>
      <x:c r="H23" s="7" t="n">
        <x:v>1</x:v>
      </x:c>
      <x:c r="I23" s="7" t="n">
        <x:v>5</x:v>
      </x:c>
      <x:c r="J23" s="7" t="n">
        <x:v>12</x:v>
      </x:c>
      <x:c r="K23" s="7" t="n">
        <x:v>29</x:v>
      </x:c>
      <x:c r="L23" s="7" t="n">
        <x:v>20</x:v>
      </x:c>
      <x:c r="M23" s="7" t="n">
        <x:v>28</x:v>
      </x:c>
      <x:c r="N23" s="7" t="n">
        <x:v>6</x:v>
      </x:c>
      <x:c r="O23" s="6" t="str">
        <x:v>역할별 체력 조정 반영 / 무키워드 추가타 없음</x:v>
      </x:c>
    </x:row>
    <x:row r="24" ht="15" hidden="0" customHeight="1">
      <x:c r="A24" s="7" t="n">
        <x:v>23</x:v>
      </x:c>
      <x:c r="B24" s="6" t="str">
        <x:v>adventure_node_13</x:v>
      </x:c>
      <x:c r="C24" s="6" t="str">
        <x:v>서리그늘 파수</x:v>
      </x:c>
      <x:c r="D24" s="7" t="n">
        <x:v>999</x:v>
      </x:c>
      <x:c r="E24" s="7" t="n">
        <x:v>999</x:v>
      </x:c>
      <x:c r="F24" s="7" t="n">
        <x:v>1</x:v>
      </x:c>
      <x:c r="G24" s="7" t="n">
        <x:v>0</x:v>
      </x:c>
      <x:c r="H24" s="7" t="n">
        <x:v>0</x:v>
      </x:c>
      <x:c r="I24" s="7" t="n">
        <x:v>4</x:v>
      </x:c>
      <x:c r="J24" s="7" t="n">
        <x:v>1</x:v>
      </x:c>
      <x:c r="K24" s="7" t="n">
        <x:v>2</x:v>
      </x:c>
      <x:c r="L24" s="7" t="n">
        <x:v>20</x:v>
      </x:c>
      <x:c r="M24" s="7" t="n">
        <x:v>14</x:v>
      </x:c>
      <x:c r="N24" s="7" t="n">
        <x:v>13</x:v>
      </x:c>
      <x:c r="O24" s="6" t="str">
        <x:v>모험 전용 / 역할별 체력 조정 반영</x:v>
      </x:c>
    </x:row>
    <x:row r="25" ht="15" hidden="0" customHeight="1">
      <x:c r="A25" s="7" t="n">
        <x:v>24</x:v>
      </x:c>
      <x:c r="B25" s="6" t="str">
        <x:v>adventure_node_14</x:v>
      </x:c>
      <x:c r="C25" s="6" t="str">
        <x:v>눈보라 무리</x:v>
      </x:c>
      <x:c r="D25" s="7" t="n">
        <x:v>999</x:v>
      </x:c>
      <x:c r="E25" s="7" t="n">
        <x:v>999</x:v>
      </x:c>
      <x:c r="F25" s="7" t="n">
        <x:v>1</x:v>
      </x:c>
      <x:c r="G25" s="7" t="n">
        <x:v>0</x:v>
      </x:c>
      <x:c r="H25" s="7" t="n">
        <x:v>0</x:v>
      </x:c>
      <x:c r="I25" s="7" t="n">
        <x:v>20</x:v>
      </x:c>
      <x:c r="J25" s="7" t="n">
        <x:v>18</x:v>
      </x:c>
      <x:c r="K25" s="7" t="n">
        <x:v>19</x:v>
      </x:c>
      <x:c r="L25" s="7" t="n">
        <x:v>30</x:v>
      </x:c>
      <x:c r="M25" s="7" t="n">
        <x:v>6</x:v>
      </x:c>
      <x:c r="N25" s="7" t="n">
        <x:v>7</x:v>
      </x:c>
      <x:c r="O25" s="6" t="str">
        <x:v>모험 전용 / 역할별 체력 조정 반영</x:v>
      </x:c>
    </x:row>
    <x:row r="26" ht="15" hidden="0" customHeight="1">
      <x:c r="A26" s="7" t="n">
        <x:v>25</x:v>
      </x:c>
      <x:c r="B26" s="6" t="str">
        <x:v>adventure_node_15</x:v>
      </x:c>
      <x:c r="C26" s="6" t="str">
        <x:v>얼음물결 술사</x:v>
      </x:c>
      <x:c r="D26" s="7" t="n">
        <x:v>999</x:v>
      </x:c>
      <x:c r="E26" s="7" t="n">
        <x:v>999</x:v>
      </x:c>
      <x:c r="F26" s="7" t="n">
        <x:v>1</x:v>
      </x:c>
      <x:c r="G26" s="7" t="n">
        <x:v>0</x:v>
      </x:c>
      <x:c r="H26" s="7" t="n">
        <x:v>0</x:v>
      </x:c>
      <x:c r="I26" s="7" t="n">
        <x:v>15</x:v>
      </x:c>
      <x:c r="J26" s="7" t="n">
        <x:v>16</x:v>
      </x:c>
      <x:c r="K26" s="7" t="n">
        <x:v>25</x:v>
      </x:c>
      <x:c r="L26" s="7" t="n">
        <x:v>26</x:v>
      </x:c>
      <x:c r="M26" s="7" t="n">
        <x:v>6</x:v>
      </x:c>
      <x:c r="N26" s="7" t="n">
        <x:v>27</x:v>
      </x:c>
      <x:c r="O26" s="6" t="str">
        <x:v>모험 전용 / 역할별 체력 조정 반영</x:v>
      </x:c>
    </x:row>
    <x:row r="27" ht="15" hidden="0" customHeight="1">
      <x:c r="A27" s="7" t="n">
        <x:v>26</x:v>
      </x:c>
      <x:c r="B27" s="6" t="str">
        <x:v>adventure_node_16</x:v>
      </x:c>
      <x:c r="C27" s="6" t="str">
        <x:v>서리무덤 주인</x:v>
      </x:c>
      <x:c r="D27" s="7" t="n">
        <x:v>999</x:v>
      </x:c>
      <x:c r="E27" s="7" t="n">
        <x:v>999</x:v>
      </x:c>
      <x:c r="F27" s="7" t="n">
        <x:v>1</x:v>
      </x:c>
      <x:c r="G27" s="7" t="n">
        <x:v>0</x:v>
      </x:c>
      <x:c r="H27" s="7" t="n">
        <x:v>0</x:v>
      </x:c>
      <x:c r="I27" s="7" t="n">
        <x:v>10</x:v>
      </x:c>
      <x:c r="J27" s="7" t="n">
        <x:v>9</x:v>
      </x:c>
      <x:c r="K27" s="7" t="n">
        <x:v>8</x:v>
      </x:c>
      <x:c r="L27" s="7" t="n">
        <x:v>6</x:v>
      </x:c>
      <x:c r="M27" s="7" t="n">
        <x:v>23</x:v>
      </x:c>
      <x:c r="N27" s="7" t="n">
        <x:v>27</x:v>
      </x:c>
      <x:c r="O27" s="6" t="str">
        <x:v>모험 전용 / 역할별 체력 조정 반영</x:v>
      </x:c>
    </x:row>
    <x:row r="28" ht="15" hidden="0" customHeight="1">
      <x:c r="A28" s="7" t="n">
        <x:v>27</x:v>
      </x:c>
      <x:c r="B28" s="6" t="str">
        <x:v>adventure_node_17</x:v>
      </x:c>
      <x:c r="C28" s="6" t="str">
        <x:v>세갈래 유물기사</x:v>
      </x:c>
      <x:c r="D28" s="7" t="n">
        <x:v>999</x:v>
      </x:c>
      <x:c r="E28" s="7" t="n">
        <x:v>999</x:v>
      </x:c>
      <x:c r="F28" s="7" t="n">
        <x:v>1</x:v>
      </x:c>
      <x:c r="G28" s="7" t="n">
        <x:v>0</x:v>
      </x:c>
      <x:c r="H28" s="7" t="n">
        <x:v>0</x:v>
      </x:c>
      <x:c r="I28" s="7" t="n">
        <x:v>12</x:v>
      </x:c>
      <x:c r="J28" s="7" t="n">
        <x:v>28</x:v>
      </x:c>
      <x:c r="K28" s="7" t="n">
        <x:v>11</x:v>
      </x:c>
      <x:c r="L28" s="7" t="n">
        <x:v>31</x:v>
      </x:c>
      <x:c r="M28" s="7" t="n">
        <x:v>37</x:v>
      </x:c>
      <x:c r="N28" s="7" t="n">
        <x:v>20</x:v>
      </x:c>
      <x:c r="O28" s="6" t="str">
        <x:v>모험 전용 / 역할별 체력 조정 반영</x:v>
      </x:c>
    </x:row>
    <x:row r="29" ht="15" hidden="0" customHeight="1">
      <x:c r="A29" s="7" t="n">
        <x:v>28</x:v>
      </x:c>
      <x:c r="B29" s="6" t="str">
        <x:v>adventure_node_18</x:v>
      </x:c>
      <x:c r="C29" s="6" t="str">
        <x:v>설원의 성주</x:v>
      </x:c>
      <x:c r="D29" s="7" t="n">
        <x:v>999</x:v>
      </x:c>
      <x:c r="E29" s="7" t="n">
        <x:v>999</x:v>
      </x:c>
      <x:c r="F29" s="7" t="n">
        <x:v>1</x:v>
      </x:c>
      <x:c r="G29" s="7" t="n">
        <x:v>0</x:v>
      </x:c>
      <x:c r="H29" s="7" t="n">
        <x:v>0</x:v>
      </x:c>
      <x:c r="I29" s="7" t="n">
        <x:v>7</x:v>
      </x:c>
      <x:c r="J29" s="7" t="n">
        <x:v>28</x:v>
      </x:c>
      <x:c r="K29" s="7" t="n">
        <x:v>12</x:v>
      </x:c>
      <x:c r="L29" s="7" t="n">
        <x:v>40</x:v>
      </x:c>
      <x:c r="M29" s="7" t="n">
        <x:v>5</x:v>
      </x:c>
      <x:c r="N29" s="7" t="n">
        <x:v>37</x:v>
      </x:c>
      <x:c r="O29" s="6" t="str">
        <x:v>모험 전용 / 역할별 체력 조정 반영</x:v>
      </x:c>
    </x:row>
    <x:row r="30" ht="15" hidden="0" customHeight="1">
      <x:c r="A30" s="7" t="n">
        <x:v>29</x:v>
      </x:c>
      <x:c r="B30" s="6" t="str">
        <x:v>adventure_node_19</x:v>
      </x:c>
      <x:c r="C30" s="6" t="str">
        <x:v>잿바람 소용돌이</x:v>
      </x:c>
      <x:c r="D30" s="7" t="n">
        <x:v>999</x:v>
      </x:c>
      <x:c r="E30" s="7" t="n">
        <x:v>999</x:v>
      </x:c>
      <x:c r="F30" s="7" t="n">
        <x:v>1</x:v>
      </x:c>
      <x:c r="G30" s="7" t="n">
        <x:v>0</x:v>
      </x:c>
      <x:c r="H30" s="7" t="n">
        <x:v>0</x:v>
      </x:c>
      <x:c r="I30" s="7" t="n">
        <x:v>15</x:v>
      </x:c>
      <x:c r="J30" s="7" t="n">
        <x:v>16</x:v>
      </x:c>
      <x:c r="K30" s="7" t="n">
        <x:v>25</x:v>
      </x:c>
      <x:c r="L30" s="7" t="n">
        <x:v>36</x:v>
      </x:c>
      <x:c r="M30" s="7" t="n">
        <x:v>6</x:v>
      </x:c>
      <x:c r="N30" s="7" t="n">
        <x:v>27</x:v>
      </x:c>
      <x:c r="O30" s="6" t="str">
        <x:v>모험 전용 / 역할별 체력 조정 반영</x:v>
      </x:c>
    </x:row>
    <x:row r="31" ht="15" hidden="0" customHeight="1">
      <x:c r="A31" s="7" t="n">
        <x:v>30</x:v>
      </x:c>
      <x:c r="B31" s="6" t="str">
        <x:v>adventure_node_20</x:v>
      </x:c>
      <x:c r="C31" s="6" t="str">
        <x:v>불티 떼</x:v>
      </x:c>
      <x:c r="D31" s="7" t="n">
        <x:v>999</x:v>
      </x:c>
      <x:c r="E31" s="7" t="n">
        <x:v>999</x:v>
      </x:c>
      <x:c r="F31" s="7" t="n">
        <x:v>1</x:v>
      </x:c>
      <x:c r="G31" s="7" t="n">
        <x:v>0</x:v>
      </x:c>
      <x:c r="H31" s="7" t="n">
        <x:v>0</x:v>
      </x:c>
      <x:c r="I31" s="7" t="n">
        <x:v>20</x:v>
      </x:c>
      <x:c r="J31" s="7" t="n">
        <x:v>18</x:v>
      </x:c>
      <x:c r="K31" s="7" t="n">
        <x:v>19</x:v>
      </x:c>
      <x:c r="L31" s="7" t="n">
        <x:v>30</x:v>
      </x:c>
      <x:c r="M31" s="7" t="n">
        <x:v>39</x:v>
      </x:c>
      <x:c r="N31" s="7" t="n">
        <x:v>13</x:v>
      </x:c>
      <x:c r="O31" s="6" t="str">
        <x:v>모험 전용 / 역할별 체력 조정 반영</x:v>
      </x:c>
    </x:row>
    <x:row r="32" ht="15" hidden="0" customHeight="1">
      <x:c r="A32" s="7" t="n">
        <x:v>31</x:v>
      </x:c>
      <x:c r="B32" s="6" t="str">
        <x:v>adventure_node_21</x:v>
      </x:c>
      <x:c r="C32" s="6" t="str">
        <x:v>흑요석 방벽대</x:v>
      </x:c>
      <x:c r="D32" s="7" t="n">
        <x:v>999</x:v>
      </x:c>
      <x:c r="E32" s="7" t="n">
        <x:v>999</x:v>
      </x:c>
      <x:c r="F32" s="7" t="n">
        <x:v>1</x:v>
      </x:c>
      <x:c r="G32" s="7" t="n">
        <x:v>0</x:v>
      </x:c>
      <x:c r="H32" s="7" t="n">
        <x:v>0</x:v>
      </x:c>
      <x:c r="I32" s="7" t="n">
        <x:v>5</x:v>
      </x:c>
      <x:c r="J32" s="7" t="n">
        <x:v>29</x:v>
      </x:c>
      <x:c r="K32" s="7" t="n">
        <x:v>31</x:v>
      </x:c>
      <x:c r="L32" s="7" t="n">
        <x:v>37</x:v>
      </x:c>
      <x:c r="M32" s="7" t="n">
        <x:v>28</x:v>
      </x:c>
      <x:c r="N32" s="7" t="n">
        <x:v>12</x:v>
      </x:c>
      <x:c r="O32" s="6" t="str">
        <x:v>모험 전용 / 역할별 체력 조정 반영</x:v>
      </x:c>
    </x:row>
    <x:row r="33" ht="15" hidden="0" customHeight="1">
      <x:c r="A33" s="7" t="n">
        <x:v>32</x:v>
      </x:c>
      <x:c r="B33" s="6" t="str">
        <x:v>adventure_node_22</x:v>
      </x:c>
      <x:c r="C33" s="6" t="str">
        <x:v>온천의 수호자</x:v>
      </x:c>
      <x:c r="D33" s="7" t="n">
        <x:v>999</x:v>
      </x:c>
      <x:c r="E33" s="7" t="n">
        <x:v>999</x:v>
      </x:c>
      <x:c r="F33" s="7" t="n">
        <x:v>1</x:v>
      </x:c>
      <x:c r="G33" s="7" t="n">
        <x:v>0</x:v>
      </x:c>
      <x:c r="H33" s="7" t="n">
        <x:v>0</x:v>
      </x:c>
      <x:c r="I33" s="7" t="n">
        <x:v>4</x:v>
      </x:c>
      <x:c r="J33" s="7" t="n">
        <x:v>1</x:v>
      </x:c>
      <x:c r="K33" s="7" t="n">
        <x:v>2</x:v>
      </x:c>
      <x:c r="L33" s="7" t="n">
        <x:v>32</x:v>
      </x:c>
      <x:c r="M33" s="7" t="n">
        <x:v>6</x:v>
      </x:c>
      <x:c r="N33" s="7" t="n">
        <x:v>27</x:v>
      </x:c>
      <x:c r="O33" s="6" t="str">
        <x:v>모험 전용 / 역할별 체력 조정 반영</x:v>
      </x:c>
    </x:row>
    <x:row r="34" ht="15" hidden="0" customHeight="1">
      <x:c r="A34" s="7" t="n">
        <x:v>33</x:v>
      </x:c>
      <x:c r="B34" s="6" t="str">
        <x:v>adventure_node_23</x:v>
      </x:c>
      <x:c r="C34" s="6" t="str">
        <x:v>잿더미 거인대</x:v>
      </x:c>
      <x:c r="D34" s="7" t="n">
        <x:v>999</x:v>
      </x:c>
      <x:c r="E34" s="7" t="n">
        <x:v>999</x:v>
      </x:c>
      <x:c r="F34" s="7" t="n">
        <x:v>1</x:v>
      </x:c>
      <x:c r="G34" s="7" t="n">
        <x:v>0</x:v>
      </x:c>
      <x:c r="H34" s="7" t="n">
        <x:v>0</x:v>
      </x:c>
      <x:c r="I34" s="7" t="n">
        <x:v>6</x:v>
      </x:c>
      <x:c r="J34" s="7" t="n">
        <x:v>23</x:v>
      </x:c>
      <x:c r="K34" s="7" t="n">
        <x:v>24</x:v>
      </x:c>
      <x:c r="L34" s="7" t="n">
        <x:v>27</x:v>
      </x:c>
      <x:c r="M34" s="7" t="n">
        <x:v>38</x:v>
      </x:c>
      <x:c r="N34" s="7" t="n">
        <x:v>20</x:v>
      </x:c>
      <x:c r="O34" s="6" t="str">
        <x:v>모험 전용 / 역할별 체력 조정 반영</x:v>
      </x:c>
    </x:row>
    <x:row r="35" ht="15" hidden="0" customHeight="1">
      <x:c r="A35" s="7" t="n">
        <x:v>34</x:v>
      </x:c>
      <x:c r="B35" s="6" t="str">
        <x:v>adventure_node_24</x:v>
      </x:c>
      <x:c r="C35" s="6" t="str">
        <x:v>잿불의 왕</x:v>
      </x:c>
      <x:c r="D35" s="7" t="n">
        <x:v>999</x:v>
      </x:c>
      <x:c r="E35" s="7" t="n">
        <x:v>999</x:v>
      </x:c>
      <x:c r="F35" s="7" t="n">
        <x:v>1</x:v>
      </x:c>
      <x:c r="G35" s="7" t="n">
        <x:v>0</x:v>
      </x:c>
      <x:c r="H35" s="7" t="n">
        <x:v>0</x:v>
      </x:c>
      <x:c r="I35" s="7" t="n">
        <x:v>24</x:v>
      </x:c>
      <x:c r="J35" s="7" t="n">
        <x:v>6</x:v>
      </x:c>
      <x:c r="K35" s="7" t="n">
        <x:v>38</x:v>
      </x:c>
      <x:c r="L35" s="7" t="n">
        <x:v>27</x:v>
      </x:c>
      <x:c r="M35" s="7" t="n">
        <x:v>39</x:v>
      </x:c>
      <x:c r="N35" s="7" t="n">
        <x:v>13</x:v>
      </x:c>
      <x:c r="O35" s="6" t="str">
        <x:v>모험 전용 / 역할별 체력 조정 반영</x:v>
      </x:c>
    </x:row>
    <x:row r="36" ht="15" hidden="0" customHeight="1">
      <x:c r="A36" s="7" t="n">
        <x:v>35</x:v>
      </x:c>
      <x:c r="B36" s="6" t="str">
        <x:v>adventure_node_01</x:v>
      </x:c>
      <x:c r="C36" s="6" t="str">
        <x:v>첫 만남</x:v>
      </x:c>
      <x:c r="D36" s="7" t="n">
        <x:v>999</x:v>
      </x:c>
      <x:c r="E36" s="7" t="n">
        <x:v>999</x:v>
      </x:c>
      <x:c r="F36" s="7" t="n">
        <x:v>1</x:v>
      </x:c>
      <x:c r="G36" s="7" t="n">
        <x:v>0</x:v>
      </x:c>
      <x:c r="H36" s="7" t="n">
        <x:v>0</x:v>
      </x:c>
      <x:c r="I36" s="7" t="n">
        <x:v>4</x:v>
      </x:c>
      <x:c r="J36" s="7" t="n">
        <x:v>18</x:v>
      </x:c>
      <x:c r="K36" s="7" t="n">
        <x:v>13</x:v>
      </x:c>
      <x:c r="L36" s="7" t="n">
        <x:v>20</x:v>
      </x:c>
      <x:c r="M36" s="7" t="n">
        <x:v>29</x:v>
      </x:c>
      <x:c r="N36" s="7" t="n">
        <x:v>30</x:v>
      </x:c>
      <x:c r="O36" s="6" t="str">
        <x:v>모험 전용 / 첫 전투 키워드 미해금 유지·기본 HP 합 18→22</x:v>
      </x:c>
    </x:row>
    <x:row r="37" ht="15" hidden="0" customHeight="1">
      <x:c r="A37" s="7" t="n">
        <x:v>36</x:v>
      </x:c>
      <x:c r="B37" s="6" t="str">
        <x:v>adventure_node_02</x:v>
      </x:c>
      <x:c r="C37" s="6" t="str">
        <x:v>모래와 불티</x:v>
      </x:c>
      <x:c r="D37" s="7" t="n">
        <x:v>999</x:v>
      </x:c>
      <x:c r="E37" s="7" t="n">
        <x:v>999</x:v>
      </x:c>
      <x:c r="F37" s="7" t="n">
        <x:v>1</x:v>
      </x:c>
      <x:c r="G37" s="7" t="n">
        <x:v>0</x:v>
      </x:c>
      <x:c r="H37" s="7" t="n">
        <x:v>0</x:v>
      </x:c>
      <x:c r="I37" s="7" t="n">
        <x:v>17</x:v>
      </x:c>
      <x:c r="J37" s="7" t="n">
        <x:v>18</x:v>
      </x:c>
      <x:c r="K37" s="7" t="n">
        <x:v>20</x:v>
      </x:c>
      <x:c r="L37" s="7" t="n">
        <x:v>4</x:v>
      </x:c>
      <x:c r="M37" s="7" t="n">
        <x:v>29</x:v>
      </x:c>
      <x:c r="N37" s="7" t="n">
        <x:v>30</x:v>
      </x:c>
      <x:c r="O37" s="6" t="str">
        <x:v>모험 전용 / 랭크 공유 해제</x:v>
      </x:c>
    </x:row>
    <x:row r="38" ht="15" hidden="0" customHeight="1">
      <x:c r="A38" s="7" t="n">
        <x:v>37</x:v>
      </x:c>
      <x:c r="B38" s="6" t="str">
        <x:v>adventure_node_03</x:v>
      </x:c>
      <x:c r="C38" s="6" t="str">
        <x:v>구름 숲길</x:v>
      </x:c>
      <x:c r="D38" s="7" t="n">
        <x:v>999</x:v>
      </x:c>
      <x:c r="E38" s="7" t="n">
        <x:v>999</x:v>
      </x:c>
      <x:c r="F38" s="7" t="n">
        <x:v>1</x:v>
      </x:c>
      <x:c r="G38" s="7" t="n">
        <x:v>0</x:v>
      </x:c>
      <x:c r="H38" s="7" t="n">
        <x:v>0</x:v>
      </x:c>
      <x:c r="I38" s="7" t="n">
        <x:v>4</x:v>
      </x:c>
      <x:c r="J38" s="7" t="n">
        <x:v>20</x:v>
      </x:c>
      <x:c r="K38" s="7" t="n">
        <x:v>6</x:v>
      </x:c>
      <x:c r="L38" s="7" t="n">
        <x:v>1</x:v>
      </x:c>
      <x:c r="M38" s="7" t="n">
        <x:v>2</x:v>
      </x:c>
      <x:c r="N38" s="7" t="n">
        <x:v>29</x:v>
      </x:c>
      <x:c r="O38" s="6" t="str">
        <x:v>모험 전용 / 랭크 공유 해제</x:v>
      </x:c>
    </x:row>
    <x:row r="39" ht="15" hidden="0" customHeight="1">
      <x:c r="A39" s="7" t="n">
        <x:v>38</x:v>
      </x:c>
      <x:c r="B39" s="6" t="str">
        <x:v>adventure_node_04</x:v>
      </x:c>
      <x:c r="C39" s="6" t="str">
        <x:v>숲그늘 파수</x:v>
      </x:c>
      <x:c r="D39" s="7" t="n">
        <x:v>999</x:v>
      </x:c>
      <x:c r="E39" s="7" t="n">
        <x:v>999</x:v>
      </x:c>
      <x:c r="F39" s="7" t="n">
        <x:v>1</x:v>
      </x:c>
      <x:c r="G39" s="7" t="n">
        <x:v>0</x:v>
      </x:c>
      <x:c r="H39" s="7" t="n">
        <x:v>0</x:v>
      </x:c>
      <x:c r="I39" s="7" t="n">
        <x:v>9</x:v>
      </x:c>
      <x:c r="J39" s="7" t="n">
        <x:v>18</x:v>
      </x:c>
      <x:c r="K39" s="7" t="n">
        <x:v>8</x:v>
      </x:c>
      <x:c r="L39" s="7" t="n">
        <x:v>20</x:v>
      </x:c>
      <x:c r="M39" s="7" t="n">
        <x:v>4</x:v>
      </x:c>
      <x:c r="N39" s="7" t="n">
        <x:v>2</x:v>
      </x:c>
      <x:c r="O39" s="6" t="str">
        <x:v>모험 전용 / 랭크 공유 해제</x:v>
      </x:c>
    </x:row>
    <x:row r="40" ht="15" hidden="0" customHeight="1">
      <x:c r="A40" s="7" t="n">
        <x:v>39</x:v>
      </x:c>
      <x:c r="B40" s="6" t="str">
        <x:v>adventure_node_05</x:v>
      </x:c>
      <x:c r="C40" s="6" t="str">
        <x:v>물결 순환대</x:v>
      </x:c>
      <x:c r="D40" s="7" t="n">
        <x:v>999</x:v>
      </x:c>
      <x:c r="E40" s="7" t="n">
        <x:v>999</x:v>
      </x:c>
      <x:c r="F40" s="7" t="n">
        <x:v>1</x:v>
      </x:c>
      <x:c r="G40" s="7" t="n">
        <x:v>0</x:v>
      </x:c>
      <x:c r="H40" s="7" t="n">
        <x:v>0</x:v>
      </x:c>
      <x:c r="I40" s="7" t="n">
        <x:v>15</x:v>
      </x:c>
      <x:c r="J40" s="7" t="n">
        <x:v>16</x:v>
      </x:c>
      <x:c r="K40" s="7" t="n">
        <x:v>25</x:v>
      </x:c>
      <x:c r="L40" s="7" t="n">
        <x:v>20</x:v>
      </x:c>
      <x:c r="M40" s="7" t="n">
        <x:v>6</x:v>
      </x:c>
      <x:c r="N40" s="7" t="n">
        <x:v>27</x:v>
      </x:c>
      <x:c r="O40" s="6" t="str">
        <x:v>모험 전용 / 랭크 공유 해제</x:v>
      </x:c>
    </x:row>
    <x:row r="41" ht="15" hidden="0" customHeight="1">
      <x:c r="A41" s="7" t="n">
        <x:v>40</x:v>
      </x:c>
      <x:c r="B41" s="6" t="str">
        <x:v>adventure_node_06</x:v>
      </x:c>
      <x:c r="C41" s="6" t="str">
        <x:v>바위 고개 수호자</x:v>
      </x:c>
      <x:c r="D41" s="7" t="n">
        <x:v>999</x:v>
      </x:c>
      <x:c r="E41" s="7" t="n">
        <x:v>999</x:v>
      </x:c>
      <x:c r="F41" s="7" t="n">
        <x:v>1</x:v>
      </x:c>
      <x:c r="G41" s="7" t="n">
        <x:v>0</x:v>
      </x:c>
      <x:c r="H41" s="7" t="n">
        <x:v>0</x:v>
      </x:c>
      <x:c r="I41" s="7" t="n">
        <x:v>5</x:v>
      </x:c>
      <x:c r="J41" s="7" t="n">
        <x:v>6</x:v>
      </x:c>
      <x:c r="K41" s="7" t="n">
        <x:v>28</x:v>
      </x:c>
      <x:c r="L41" s="7" t="n">
        <x:v>20</x:v>
      </x:c>
      <x:c r="M41" s="7" t="n">
        <x:v>13</x:v>
      </x:c>
      <x:c r="N41" s="7" t="n">
        <x:v>27</x:v>
      </x:c>
      <x:c r="O41" s="6" t="str">
        <x:v>모험 전용 / 랭크 공유 해제</x:v>
      </x:c>
    </x:row>
    <x:row r="42" ht="15" hidden="0" customHeight="1">
      <x:c r="A42" s="7" t="n">
        <x:v>41</x:v>
      </x:c>
      <x:c r="B42" s="6" t="str">
        <x:v>adventure_node_07</x:v>
      </x:c>
      <x:c r="C42" s="6" t="str">
        <x:v>밤길 추적대</x:v>
      </x:c>
      <x:c r="D42" s="7" t="n">
        <x:v>999</x:v>
      </x:c>
      <x:c r="E42" s="7" t="n">
        <x:v>999</x:v>
      </x:c>
      <x:c r="F42" s="7" t="n">
        <x:v>1</x:v>
      </x:c>
      <x:c r="G42" s="7" t="n">
        <x:v>0</x:v>
      </x:c>
      <x:c r="H42" s="7" t="n">
        <x:v>0</x:v>
      </x:c>
      <x:c r="I42" s="7" t="n">
        <x:v>8</x:v>
      </x:c>
      <x:c r="J42" s="7" t="n">
        <x:v>9</x:v>
      </x:c>
      <x:c r="K42" s="7" t="n">
        <x:v>10</x:v>
      </x:c>
      <x:c r="L42" s="7" t="n">
        <x:v>20</x:v>
      </x:c>
      <x:c r="M42" s="7" t="n">
        <x:v>6</x:v>
      </x:c>
      <x:c r="N42" s="7" t="n">
        <x:v>27</x:v>
      </x:c>
      <x:c r="O42" s="6" t="str">
        <x:v>모험 전용 / 랭크 공유 해제</x:v>
      </x:c>
    </x:row>
    <x:row r="43" ht="15" hidden="0" customHeight="1">
      <x:c r="A43" s="7" t="n">
        <x:v>42</x:v>
      </x:c>
      <x:c r="B43" s="6" t="str">
        <x:v>adventure_node_08</x:v>
      </x:c>
      <x:c r="C43" s="6" t="str">
        <x:v>숲의 유산</x:v>
      </x:c>
      <x:c r="D43" s="7" t="n">
        <x:v>999</x:v>
      </x:c>
      <x:c r="E43" s="7" t="n">
        <x:v>999</x:v>
      </x:c>
      <x:c r="F43" s="7" t="n">
        <x:v>1</x:v>
      </x:c>
      <x:c r="G43" s="7" t="n">
        <x:v>0</x:v>
      </x:c>
      <x:c r="H43" s="7" t="n">
        <x:v>0</x:v>
      </x:c>
      <x:c r="I43" s="7" t="n">
        <x:v>7</x:v>
      </x:c>
      <x:c r="J43" s="7" t="n">
        <x:v>28</x:v>
      </x:c>
      <x:c r="K43" s="7" t="n">
        <x:v>11</x:v>
      </x:c>
      <x:c r="L43" s="7" t="n">
        <x:v>20</x:v>
      </x:c>
      <x:c r="M43" s="7" t="n">
        <x:v>12</x:v>
      </x:c>
      <x:c r="N43" s="7" t="n">
        <x:v>2</x:v>
      </x:c>
      <x:c r="O43" s="6" t="str">
        <x:v>모험 전용 / 랭크 공유 해제</x:v>
      </x:c>
    </x:row>
    <x:row r="44" ht="15" hidden="0" customHeight="1">
      <x:c r="A44" s="7" t="n">
        <x:v>43</x:v>
      </x:c>
      <x:c r="B44" s="6" t="str">
        <x:v>adventure_node_09</x:v>
      </x:c>
      <x:c r="C44" s="6" t="str">
        <x:v>수정 방벽</x:v>
      </x:c>
      <x:c r="D44" s="7" t="n">
        <x:v>999</x:v>
      </x:c>
      <x:c r="E44" s="7" t="n">
        <x:v>999</x:v>
      </x:c>
      <x:c r="F44" s="7" t="n">
        <x:v>1</x:v>
      </x:c>
      <x:c r="G44" s="7" t="n">
        <x:v>0</x:v>
      </x:c>
      <x:c r="H44" s="7" t="n">
        <x:v>0</x:v>
      </x:c>
      <x:c r="I44" s="7" t="n">
        <x:v>5</x:v>
      </x:c>
      <x:c r="J44" s="7" t="n">
        <x:v>29</x:v>
      </x:c>
      <x:c r="K44" s="7" t="n">
        <x:v>37</x:v>
      </x:c>
      <x:c r="L44" s="7" t="n">
        <x:v>20</x:v>
      </x:c>
      <x:c r="M44" s="7" t="n">
        <x:v>6</x:v>
      </x:c>
      <x:c r="N44" s="7" t="n">
        <x:v>2</x:v>
      </x:c>
      <x:c r="O44" s="6" t="str">
        <x:v>모험 전용 / 랭크 공유 해제</x:v>
      </x:c>
    </x:row>
    <x:row r="45" ht="15" hidden="0" customHeight="1">
      <x:c r="A45" s="7" t="n">
        <x:v>44</x:v>
      </x:c>
      <x:c r="B45" s="6" t="str">
        <x:v>adventure_node_10</x:v>
      </x:c>
      <x:c r="C45" s="6" t="str">
        <x:v>낙인 사냥대</x:v>
      </x:c>
      <x:c r="D45" s="7" t="n">
        <x:v>999</x:v>
      </x:c>
      <x:c r="E45" s="7" t="n">
        <x:v>999</x:v>
      </x:c>
      <x:c r="F45" s="7" t="n">
        <x:v>1</x:v>
      </x:c>
      <x:c r="G45" s="7" t="n">
        <x:v>0</x:v>
      </x:c>
      <x:c r="H45" s="7" t="n">
        <x:v>0</x:v>
      </x:c>
      <x:c r="I45" s="7" t="n">
        <x:v>17</x:v>
      </x:c>
      <x:c r="J45" s="7" t="n">
        <x:v>18</x:v>
      </x:c>
      <x:c r="K45" s="7" t="n">
        <x:v>19</x:v>
      </x:c>
      <x:c r="L45" s="7" t="n">
        <x:v>20</x:v>
      </x:c>
      <x:c r="M45" s="7" t="n">
        <x:v>13</x:v>
      </x:c>
      <x:c r="N45" s="7" t="n">
        <x:v>14</x:v>
      </x:c>
      <x:c r="O45" s="6" t="str">
        <x:v>모험 전용 / 랭크 공유 해제</x:v>
      </x:c>
    </x:row>
    <x:row r="46" ht="15" hidden="0" customHeight="1">
      <x:c r="A46" s="7" t="n">
        <x:v>45</x:v>
      </x:c>
      <x:c r="B46" s="6" t="str">
        <x:v>adventure_node_11</x:v>
      </x:c>
      <x:c r="C46" s="6" t="str">
        <x:v>별빛 순환대</x:v>
      </x:c>
      <x:c r="D46" s="7" t="n">
        <x:v>999</x:v>
      </x:c>
      <x:c r="E46" s="7" t="n">
        <x:v>999</x:v>
      </x:c>
      <x:c r="F46" s="7" t="n">
        <x:v>1</x:v>
      </x:c>
      <x:c r="G46" s="7" t="n">
        <x:v>0</x:v>
      </x:c>
      <x:c r="H46" s="7" t="n">
        <x:v>0</x:v>
      </x:c>
      <x:c r="I46" s="7" t="n">
        <x:v>4</x:v>
      </x:c>
      <x:c r="J46" s="7" t="n">
        <x:v>2</x:v>
      </x:c>
      <x:c r="K46" s="7" t="n">
        <x:v>32</x:v>
      </x:c>
      <x:c r="L46" s="7" t="n">
        <x:v>6</x:v>
      </x:c>
      <x:c r="M46" s="7" t="n">
        <x:v>25</x:v>
      </x:c>
      <x:c r="N46" s="7" t="n">
        <x:v>27</x:v>
      </x:c>
      <x:c r="O46" s="6" t="str">
        <x:v>모험 전용 / 랭크 공유 해제</x:v>
      </x:c>
    </x:row>
    <x:row r="47" ht="15" hidden="0" customHeight="1">
      <x:c r="A47" s="7" t="n">
        <x:v>46</x:v>
      </x:c>
      <x:c r="B47" s="6" t="str">
        <x:v>adventure_node_12</x:v>
      </x:c>
      <x:c r="C47" s="6" t="str">
        <x:v>덩치 관문</x:v>
      </x:c>
      <x:c r="D47" s="7" t="n">
        <x:v>999</x:v>
      </x:c>
      <x:c r="E47" s="7" t="n">
        <x:v>999</x:v>
      </x:c>
      <x:c r="F47" s="7" t="n">
        <x:v>1</x:v>
      </x:c>
      <x:c r="G47" s="7" t="n">
        <x:v>0</x:v>
      </x:c>
      <x:c r="H47" s="7" t="n">
        <x:v>0</x:v>
      </x:c>
      <x:c r="I47" s="7" t="n">
        <x:v>6</x:v>
      </x:c>
      <x:c r="J47" s="7" t="n">
        <x:v>23</x:v>
      </x:c>
      <x:c r="K47" s="7" t="n">
        <x:v>27</x:v>
      </x:c>
      <x:c r="L47" s="7" t="n">
        <x:v>20</x:v>
      </x:c>
      <x:c r="M47" s="7" t="n">
        <x:v>26</x:v>
      </x:c>
      <x:c r="N47" s="7" t="n">
        <x:v>38</x:v>
      </x:c>
      <x:c r="O47" s="6" t="str">
        <x:v>모험 전용 / 랭크 공유 해제</x:v>
      </x:c>
    </x:row>
    <x:row r="50">
      <x:c r="A50" t="str">
        <x:v>출처: docs/SpecData/AIDeck_sheet.csv / 2026-09-18 로컬 스냅샷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15" hidden="0" customWidth="1"/>
    <x:col min="6" max="6" width="26" hidden="0" customWidth="1"/>
  </x:cols>
  <x:sheetData>
    <x:row r="1" ht="44" customHeight="1">
      <x:c r="A1" s="5" t="str">
        <x:v>id</x:v>
      </x:c>
      <x:c r="B1" s="5" t="str">
        <x:v>themeId</x:v>
      </x:c>
      <x:c r="C1" s="5" t="str">
        <x:v>pageId</x:v>
      </x:c>
      <x:c r="D1" s="5" t="str">
        <x:v>cardId</x:v>
      </x:c>
      <x:c r="E1" s="5" t="str">
        <x:v>order</x:v>
      </x:c>
      <x:c r="F1" s="5" t="str">
        <x:v>#cardName</x:v>
      </x:c>
    </x:row>
    <x:row r="2" ht="15" hidden="0" customHeight="1">
      <x:c r="A2" s="7" t="n">
        <x:v>1</x:v>
      </x:c>
      <x:c r="B2" s="6" t="str">
        <x:v>Theme_Nature</x:v>
      </x:c>
      <x:c r="C2" s="6" t="str">
        <x:v>P1</x:v>
      </x:c>
      <x:c r="D2" s="7" t="n">
        <x:v>20</x:v>
      </x:c>
      <x:c r="E2" s="7" t="n">
        <x:v>0</x:v>
      </x:c>
      <x:c r="F2" s="6" t="str">
        <x:v>꿀꿀비</x:v>
      </x:c>
    </x:row>
    <x:row r="3" ht="15" hidden="0" customHeight="1">
      <x:c r="A3" s="7" t="n">
        <x:v>2</x:v>
      </x:c>
      <x:c r="B3" s="6" t="str">
        <x:v>Theme_Nature</x:v>
      </x:c>
      <x:c r="C3" s="6" t="str">
        <x:v>P1</x:v>
      </x:c>
      <x:c r="D3" s="7" t="n">
        <x:v>2</x:v>
      </x:c>
      <x:c r="E3" s="7" t="n">
        <x:v>1</x:v>
      </x:c>
      <x:c r="F3" s="6" t="str"/>
    </x:row>
    <x:row r="4" ht="15" hidden="0" customHeight="1">
      <x:c r="A4" s="7" t="n">
        <x:v>3</x:v>
      </x:c>
      <x:c r="B4" s="6" t="str">
        <x:v>Theme_Nature</x:v>
      </x:c>
      <x:c r="C4" s="6" t="str">
        <x:v>P1</x:v>
      </x:c>
      <x:c r="D4" s="7" t="n">
        <x:v>3</x:v>
      </x:c>
      <x:c r="E4" s="7" t="n">
        <x:v>2</x:v>
      </x:c>
      <x:c r="F4" s="6" t="str">
        <x:v>별토리</x:v>
      </x:c>
    </x:row>
    <x:row r="5" ht="15" hidden="0" customHeight="1">
      <x:c r="A5" s="7" t="n">
        <x:v>4</x:v>
      </x:c>
      <x:c r="B5" s="6" t="str">
        <x:v>Theme_Nature</x:v>
      </x:c>
      <x:c r="C5" s="6" t="str">
        <x:v>P1</x:v>
      </x:c>
      <x:c r="D5" s="7" t="n">
        <x:v>4</x:v>
      </x:c>
      <x:c r="E5" s="7" t="n">
        <x:v>3</x:v>
      </x:c>
      <x:c r="F5" s="6" t="str">
        <x:v>솜구름몽</x:v>
      </x:c>
    </x:row>
    <x:row r="6" ht="15" hidden="0" customHeight="1">
      <x:c r="A6" s="7" t="n">
        <x:v>5</x:v>
      </x:c>
      <x:c r="B6" s="6" t="str">
        <x:v>Theme_Nature</x:v>
      </x:c>
      <x:c r="C6" s="6" t="str">
        <x:v>P1</x:v>
      </x:c>
      <x:c r="D6" s="7" t="n">
        <x:v>8</x:v>
      </x:c>
      <x:c r="E6" s="7" t="n">
        <x:v>4</x:v>
      </x:c>
      <x:c r="F6" s="6" t="str">
        <x:v>깜밤이</x:v>
      </x:c>
    </x:row>
    <x:row r="7" ht="15" hidden="0" customHeight="1">
      <x:c r="A7" s="7" t="n">
        <x:v>6</x:v>
      </x:c>
      <x:c r="B7" s="6" t="str">
        <x:v>Theme_Nature</x:v>
      </x:c>
      <x:c r="C7" s="6" t="str">
        <x:v>P1</x:v>
      </x:c>
      <x:c r="D7" s="7" t="n">
        <x:v>9</x:v>
      </x:c>
      <x:c r="E7" s="7" t="n">
        <x:v>5</x:v>
      </x:c>
      <x:c r="F7" s="6" t="str">
        <x:v>버섯냥</x:v>
      </x:c>
    </x:row>
    <x:row r="8" ht="15" hidden="0" customHeight="1">
      <x:c r="A8" s="7" t="n">
        <x:v>7</x:v>
      </x:c>
      <x:c r="B8" s="6" t="str">
        <x:v>Theme_Nature</x:v>
      </x:c>
      <x:c r="C8" s="6" t="str">
        <x:v>P1</x:v>
      </x:c>
      <x:c r="D8" s="7" t="n">
        <x:v>10</x:v>
      </x:c>
      <x:c r="E8" s="7" t="n">
        <x:v>6</x:v>
      </x:c>
      <x:c r="F8" s="6" t="str"/>
    </x:row>
    <x:row r="9" ht="15" hidden="0" customHeight="1">
      <x:c r="A9" s="7" t="n">
        <x:v>8</x:v>
      </x:c>
      <x:c r="B9" s="6" t="str">
        <x:v>Theme_Nature</x:v>
      </x:c>
      <x:c r="C9" s="6" t="str">
        <x:v>P1</x:v>
      </x:c>
      <x:c r="D9" s="7" t="n">
        <x:v>5</x:v>
      </x:c>
      <x:c r="E9" s="7" t="n">
        <x:v>7</x:v>
      </x:c>
      <x:c r="F9" s="6" t="str"/>
    </x:row>
    <x:row r="10" ht="15" hidden="0" customHeight="1">
      <x:c r="A10" s="7" t="n">
        <x:v>9</x:v>
      </x:c>
      <x:c r="B10" s="6" t="str">
        <x:v>Theme_Nature</x:v>
      </x:c>
      <x:c r="C10" s="6" t="str">
        <x:v>P1</x:v>
      </x:c>
      <x:c r="D10" s="7" t="n">
        <x:v>7</x:v>
      </x:c>
      <x:c r="E10" s="7" t="n">
        <x:v>8</x:v>
      </x:c>
      <x:c r="F10" s="6" t="str">
        <x:v>왕밤도치</x:v>
      </x:c>
    </x:row>
    <x:row r="11" ht="15" hidden="0" customHeight="1">
      <x:c r="A11" s="7" t="n">
        <x:v>10</x:v>
      </x:c>
      <x:c r="B11" s="6" t="str">
        <x:v>Theme_Nature</x:v>
      </x:c>
      <x:c r="C11" s="6" t="str">
        <x:v>P2</x:v>
      </x:c>
      <x:c r="D11" s="7" t="n">
        <x:v>17</x:v>
      </x:c>
      <x:c r="E11" s="7" t="n">
        <x:v>0</x:v>
      </x:c>
      <x:c r="F11" s="6" t="str">
        <x:v>와글도도</x:v>
      </x:c>
    </x:row>
    <x:row r="12" ht="15" hidden="0" customHeight="1">
      <x:c r="A12" s="7" t="n">
        <x:v>11</x:v>
      </x:c>
      <x:c r="B12" s="6" t="str">
        <x:v>Theme_Nature</x:v>
      </x:c>
      <x:c r="C12" s="6" t="str">
        <x:v>P2</x:v>
      </x:c>
      <x:c r="D12" s="7" t="n">
        <x:v>18</x:v>
      </x:c>
      <x:c r="E12" s="7" t="n">
        <x:v>1</x:v>
      </x:c>
      <x:c r="F12" s="6" t="str"/>
    </x:row>
    <x:row r="13" ht="15" hidden="0" customHeight="1">
      <x:c r="A13" s="7" t="n">
        <x:v>12</x:v>
      </x:c>
      <x:c r="B13" s="6" t="str">
        <x:v>Theme_Nature</x:v>
      </x:c>
      <x:c r="C13" s="6" t="str">
        <x:v>P2</x:v>
      </x:c>
      <x:c r="D13" s="7" t="n">
        <x:v>19</x:v>
      </x:c>
      <x:c r="E13" s="7" t="n">
        <x:v>2</x:v>
      </x:c>
      <x:c r="F13" s="6" t="str"/>
    </x:row>
    <x:row r="14" ht="15" hidden="0" customHeight="1">
      <x:c r="A14" s="7" t="n">
        <x:v>13</x:v>
      </x:c>
      <x:c r="B14" s="6" t="str">
        <x:v>Theme_Nature</x:v>
      </x:c>
      <x:c r="C14" s="6" t="str">
        <x:v>P2</x:v>
      </x:c>
      <x:c r="D14" s="7" t="n">
        <x:v>1</x:v>
      </x:c>
      <x:c r="E14" s="7" t="n">
        <x:v>3</x:v>
      </x:c>
      <x:c r="F14" s="6" t="str">
        <x:v>포슬램</x:v>
      </x:c>
    </x:row>
    <x:row r="15" ht="15" hidden="0" customHeight="1">
      <x:c r="A15" s="7" t="n">
        <x:v>14</x:v>
      </x:c>
      <x:c r="B15" s="6" t="str">
        <x:v>Theme_Nature</x:v>
      </x:c>
      <x:c r="C15" s="6" t="str">
        <x:v>P2</x:v>
      </x:c>
      <x:c r="D15" s="7" t="n">
        <x:v>15</x:v>
      </x:c>
      <x:c r="E15" s="7" t="n">
        <x:v>4</x:v>
      </x:c>
      <x:c r="F15" s="6" t="str"/>
    </x:row>
    <x:row r="16" ht="15" hidden="0" customHeight="1">
      <x:c r="A16" s="7" t="n">
        <x:v>15</x:v>
      </x:c>
      <x:c r="B16" s="6" t="str">
        <x:v>Theme_Nature</x:v>
      </x:c>
      <x:c r="C16" s="6" t="str">
        <x:v>P2</x:v>
      </x:c>
      <x:c r="D16" s="7" t="n">
        <x:v>16</x:v>
      </x:c>
      <x:c r="E16" s="7" t="n">
        <x:v>5</x:v>
      </x:c>
      <x:c r="F16" s="6" t="str"/>
    </x:row>
    <x:row r="17" ht="15" hidden="0" customHeight="1">
      <x:c r="A17" s="7" t="n">
        <x:v>16</x:v>
      </x:c>
      <x:c r="B17" s="6" t="str">
        <x:v>Theme_Nature</x:v>
      </x:c>
      <x:c r="C17" s="6" t="str">
        <x:v>P2</x:v>
      </x:c>
      <x:c r="D17" s="7" t="n">
        <x:v>25</x:v>
      </x:c>
      <x:c r="E17" s="7" t="n">
        <x:v>6</x:v>
      </x:c>
      <x:c r="F17" s="6" t="str"/>
    </x:row>
    <x:row r="18" ht="15" hidden="0" customHeight="1">
      <x:c r="A18" s="7" t="n">
        <x:v>17</x:v>
      </x:c>
      <x:c r="B18" s="6" t="str">
        <x:v>Theme_Nature</x:v>
      </x:c>
      <x:c r="C18" s="6" t="str">
        <x:v>P2</x:v>
      </x:c>
      <x:c r="D18" s="7" t="n">
        <x:v>26</x:v>
      </x:c>
      <x:c r="E18" s="7" t="n">
        <x:v>7</x:v>
      </x:c>
      <x:c r="F18" s="6" t="str"/>
    </x:row>
    <x:row r="19" ht="15" hidden="0" customHeight="1">
      <x:c r="A19" s="7" t="n">
        <x:v>18</x:v>
      </x:c>
      <x:c r="B19" s="6" t="str">
        <x:v>Theme_Nature</x:v>
      </x:c>
      <x:c r="C19" s="6" t="str">
        <x:v>P2</x:v>
      </x:c>
      <x:c r="D19" s="7" t="n">
        <x:v>6</x:v>
      </x:c>
      <x:c r="E19" s="7" t="n">
        <x:v>8</x:v>
      </x:c>
      <x:c r="F19" s="6" t="str"/>
    </x:row>
    <x:row r="20" ht="15" hidden="0" customHeight="1">
      <x:c r="A20" s="7" t="n">
        <x:v>19</x:v>
      </x:c>
      <x:c r="B20" s="6" t="str">
        <x:v>Theme_Nature</x:v>
      </x:c>
      <x:c r="C20" s="6" t="str">
        <x:v>P3</x:v>
      </x:c>
      <x:c r="D20" s="7" t="n">
        <x:v>11</x:v>
      </x:c>
      <x:c r="E20" s="7" t="n">
        <x:v>0</x:v>
      </x:c>
      <x:c r="F20" s="6" t="str">
        <x:v>우드혼</x:v>
      </x:c>
    </x:row>
    <x:row r="21" ht="15" hidden="0" customHeight="1">
      <x:c r="A21" s="7" t="n">
        <x:v>20</x:v>
      </x:c>
      <x:c r="B21" s="6" t="str">
        <x:v>Theme_Nature</x:v>
      </x:c>
      <x:c r="C21" s="6" t="str">
        <x:v>P3</x:v>
      </x:c>
      <x:c r="D21" s="7" t="n">
        <x:v>12</x:v>
      </x:c>
      <x:c r="E21" s="7" t="n">
        <x:v>1</x:v>
      </x:c>
      <x:c r="F21" s="6" t="str">
        <x:v>대장부리</x:v>
      </x:c>
    </x:row>
    <x:row r="22" ht="15" hidden="0" customHeight="1">
      <x:c r="A22" s="7" t="n">
        <x:v>21</x:v>
      </x:c>
      <x:c r="B22" s="6" t="str">
        <x:v>Theme_Nature</x:v>
      </x:c>
      <x:c r="C22" s="6" t="str">
        <x:v>P3</x:v>
      </x:c>
      <x:c r="D22" s="7" t="n">
        <x:v>13</x:v>
      </x:c>
      <x:c r="E22" s="7" t="n">
        <x:v>2</x:v>
      </x:c>
      <x:c r="F22" s="6" t="str">
        <x:v>늪꾸리</x:v>
      </x:c>
    </x:row>
    <x:row r="23" ht="15" hidden="0" customHeight="1">
      <x:c r="A23" s="7" t="n">
        <x:v>22</x:v>
      </x:c>
      <x:c r="B23" s="6" t="str">
        <x:v>Theme_Nature</x:v>
      </x:c>
      <x:c r="C23" s="6" t="str">
        <x:v>P3</x:v>
      </x:c>
      <x:c r="D23" s="7" t="n">
        <x:v>14</x:v>
      </x:c>
      <x:c r="E23" s="7" t="n">
        <x:v>3</x:v>
      </x:c>
      <x:c r="F23" s="6" t="str"/>
    </x:row>
    <x:row r="24" ht="15" hidden="0" customHeight="1">
      <x:c r="A24" s="7" t="n">
        <x:v>23</x:v>
      </x:c>
      <x:c r="B24" s="6" t="str">
        <x:v>Theme_Nature</x:v>
      </x:c>
      <x:c r="C24" s="6" t="str">
        <x:v>P3</x:v>
      </x:c>
      <x:c r="D24" s="7" t="n">
        <x:v>21</x:v>
      </x:c>
      <x:c r="E24" s="7" t="n">
        <x:v>4</x:v>
      </x:c>
      <x:c r="F24" s="6" t="str"/>
    </x:row>
    <x:row r="25" ht="15" hidden="0" customHeight="1">
      <x:c r="A25" s="7" t="n">
        <x:v>24</x:v>
      </x:c>
      <x:c r="B25" s="6" t="str">
        <x:v>Theme_Nature</x:v>
      </x:c>
      <x:c r="C25" s="6" t="str">
        <x:v>P3</x:v>
      </x:c>
      <x:c r="D25" s="7" t="n">
        <x:v>22</x:v>
      </x:c>
      <x:c r="E25" s="7" t="n">
        <x:v>5</x:v>
      </x:c>
      <x:c r="F25" s="6" t="str"/>
    </x:row>
    <x:row r="26" ht="15" hidden="0" customHeight="1">
      <x:c r="A26" s="7" t="n">
        <x:v>25</x:v>
      </x:c>
      <x:c r="B26" s="6" t="str">
        <x:v>Theme_Nature</x:v>
      </x:c>
      <x:c r="C26" s="6" t="str">
        <x:v>P3</x:v>
      </x:c>
      <x:c r="D26" s="7" t="n">
        <x:v>23</x:v>
      </x:c>
      <x:c r="E26" s="7" t="n">
        <x:v>6</x:v>
      </x:c>
      <x:c r="F26" s="6" t="str"/>
    </x:row>
    <x:row r="27" ht="15" hidden="0" customHeight="1">
      <x:c r="A27" s="7" t="n">
        <x:v>26</x:v>
      </x:c>
      <x:c r="B27" s="6" t="str">
        <x:v>Theme_Nature</x:v>
      </x:c>
      <x:c r="C27" s="6" t="str">
        <x:v>P3</x:v>
      </x:c>
      <x:c r="D27" s="7" t="n">
        <x:v>24</x:v>
      </x:c>
      <x:c r="E27" s="7" t="n">
        <x:v>7</x:v>
      </x:c>
      <x:c r="F27" s="6" t="str">
        <x:v>화르룩스</x:v>
      </x:c>
    </x:row>
    <x:row r="28" ht="15" hidden="0" customHeight="1">
      <x:c r="A28" s="7" t="n">
        <x:v>27</x:v>
      </x:c>
      <x:c r="B28" s="6" t="str">
        <x:v>Theme_Nature</x:v>
      </x:c>
      <x:c r="C28" s="6" t="str">
        <x:v>P3</x:v>
      </x:c>
      <x:c r="D28" s="7" t="n">
        <x:v>27</x:v>
      </x:c>
      <x:c r="E28" s="7" t="n">
        <x:v>8</x:v>
      </x:c>
      <x:c r="F28" s="6" t="str">
        <x:v>모닥콩</x:v>
      </x:c>
    </x:row>
    <x:row r="29" ht="15" hidden="0" customHeight="1">
      <x:c r="A29" s="7" t="n">
        <x:v>28</x:v>
      </x:c>
      <x:c r="B29" s="6" t="str">
        <x:v>Theme_Nature</x:v>
      </x:c>
      <x:c r="C29" s="6" t="str">
        <x:v>P4</x:v>
      </x:c>
      <x:c r="D29" s="7" t="n">
        <x:v>28</x:v>
      </x:c>
      <x:c r="E29" s="7" t="n">
        <x:v>0</x:v>
      </x:c>
      <x:c r="F29" s="6" t="str">
        <x:v>단풍꼬리</x:v>
      </x:c>
    </x:row>
    <x:row r="30" ht="15" hidden="0" customHeight="1">
      <x:c r="A30" s="7" t="n">
        <x:v>29</x:v>
      </x:c>
      <x:c r="B30" s="6" t="str">
        <x:v>Theme_Nature</x:v>
      </x:c>
      <x:c r="C30" s="6" t="str">
        <x:v>P4</x:v>
      </x:c>
      <x:c r="D30" s="7" t="n">
        <x:v>29</x:v>
      </x:c>
      <x:c r="E30" s="7" t="n">
        <x:v>1</x:v>
      </x:c>
      <x:c r="F30" s="6" t="str"/>
    </x:row>
    <x:row r="31" ht="15" hidden="0" customHeight="1">
      <x:c r="A31" s="7" t="n">
        <x:v>30</x:v>
      </x:c>
      <x:c r="B31" s="6" t="str">
        <x:v>Theme_Nature</x:v>
      </x:c>
      <x:c r="C31" s="6" t="str">
        <x:v>P4</x:v>
      </x:c>
      <x:c r="D31" s="7" t="n">
        <x:v>30</x:v>
      </x:c>
      <x:c r="E31" s="7" t="n">
        <x:v>2</x:v>
      </x:c>
      <x:c r="F31" s="6" t="str">
        <x:v>폭탄밤</x:v>
      </x:c>
    </x:row>
    <x:row r="32" ht="15" hidden="0" customHeight="1">
      <x:c r="A32" s="7" t="n">
        <x:v>31</x:v>
      </x:c>
      <x:c r="B32" s="6" t="str">
        <x:v>Theme_Nature</x:v>
      </x:c>
      <x:c r="C32" s="6" t="str">
        <x:v>P4</x:v>
      </x:c>
      <x:c r="D32" s="7" t="n">
        <x:v>38</x:v>
      </x:c>
      <x:c r="E32" s="7" t="n">
        <x:v>3</x:v>
      </x:c>
      <x:c r="F32" s="6" t="str"/>
    </x:row>
    <x:row r="33" ht="15" hidden="0" customHeight="1">
      <x:c r="A33" s="7" t="n">
        <x:v>32</x:v>
      </x:c>
      <x:c r="B33" s="6" t="str">
        <x:v>Theme_Nature</x:v>
      </x:c>
      <x:c r="C33" s="6" t="str">
        <x:v>P4</x:v>
      </x:c>
      <x:c r="D33" s="7" t="n">
        <x:v>31</x:v>
      </x:c>
      <x:c r="E33" s="7" t="n">
        <x:v>4</x:v>
      </x:c>
      <x:c r="F33" s="6" t="str">
        <x:v>크리스탈혼</x:v>
      </x:c>
    </x:row>
    <x:row r="34" ht="15" hidden="0" customHeight="1">
      <x:c r="A34" s="7" t="n">
        <x:v>33</x:v>
      </x:c>
      <x:c r="B34" s="6" t="str">
        <x:v>Theme_Nature</x:v>
      </x:c>
      <x:c r="C34" s="6" t="str">
        <x:v>P4</x:v>
      </x:c>
      <x:c r="D34" s="7" t="n">
        <x:v>33</x:v>
      </x:c>
      <x:c r="E34" s="7" t="n">
        <x:v>5</x:v>
      </x:c>
      <x:c r="F34" s="6" t="str">
        <x:v>루미엘크</x:v>
      </x:c>
    </x:row>
    <x:row r="35" ht="15" hidden="0" customHeight="1">
      <x:c r="A35" s="7" t="n">
        <x:v>34</x:v>
      </x:c>
      <x:c r="B35" s="6" t="str">
        <x:v>Theme_Nature</x:v>
      </x:c>
      <x:c r="C35" s="6" t="str">
        <x:v>P4</x:v>
      </x:c>
      <x:c r="D35" s="7" t="n">
        <x:v>34</x:v>
      </x:c>
      <x:c r="E35" s="7" t="n">
        <x:v>6</x:v>
      </x:c>
      <x:c r="F35" s="6" t="str"/>
    </x:row>
    <x:row r="36" ht="15" hidden="0" customHeight="1">
      <x:c r="A36" s="7" t="n">
        <x:v>35</x:v>
      </x:c>
      <x:c r="B36" s="6" t="str">
        <x:v>Theme_Nature</x:v>
      </x:c>
      <x:c r="C36" s="6" t="str">
        <x:v>P4</x:v>
      </x:c>
      <x:c r="D36" s="7" t="n">
        <x:v>37</x:v>
      </x:c>
      <x:c r="E36" s="7" t="n">
        <x:v>7</x:v>
      </x:c>
      <x:c r="F36" s="6" t="str"/>
    </x:row>
    <x:row r="37" ht="15" hidden="0" customHeight="1">
      <x:c r="A37" s="7" t="n">
        <x:v>36</x:v>
      </x:c>
      <x:c r="B37" s="6" t="str">
        <x:v>Theme_Nature</x:v>
      </x:c>
      <x:c r="C37" s="6" t="str">
        <x:v>P4</x:v>
      </x:c>
      <x:c r="D37" s="7" t="n">
        <x:v>35</x:v>
      </x:c>
      <x:c r="E37" s="7" t="n">
        <x:v>8</x:v>
      </x:c>
      <x:c r="F37" s="6" t="str"/>
    </x:row>
    <x:row r="38" ht="15" hidden="0" customHeight="1">
      <x:c r="A38" s="7" t="n">
        <x:v>37</x:v>
      </x:c>
      <x:c r="B38" s="6" t="str">
        <x:v>Theme_Nature</x:v>
      </x:c>
      <x:c r="C38" s="6" t="str">
        <x:v>P5</x:v>
      </x:c>
      <x:c r="D38" s="7" t="n">
        <x:v>40</x:v>
      </x:c>
      <x:c r="E38" s="7" t="n">
        <x:v>0</x:v>
      </x:c>
      <x:c r="F38" s="6" t="str"/>
    </x:row>
    <x:row r="39" ht="15" hidden="0" customHeight="1">
      <x:c r="A39" s="7" t="n">
        <x:v>38</x:v>
      </x:c>
      <x:c r="B39" s="6" t="str">
        <x:v>Theme_Nature</x:v>
      </x:c>
      <x:c r="C39" s="6" t="str">
        <x:v>P5</x:v>
      </x:c>
      <x:c r="D39" s="7" t="n">
        <x:v>39</x:v>
      </x:c>
      <x:c r="E39" s="7" t="n">
        <x:v>1</x:v>
      </x:c>
      <x:c r="F39" s="6" t="str"/>
    </x:row>
    <x:row r="40" ht="15" hidden="0" customHeight="1">
      <x:c r="A40" s="7" t="n">
        <x:v>39</x:v>
      </x:c>
      <x:c r="B40" s="6" t="str">
        <x:v>Theme_Nature</x:v>
      </x:c>
      <x:c r="C40" s="6" t="str">
        <x:v>P5</x:v>
      </x:c>
      <x:c r="D40" s="7" t="n">
        <x:v>32</x:v>
      </x:c>
      <x:c r="E40" s="7" t="n">
        <x:v>2</x:v>
      </x:c>
      <x:c r="F40" s="6" t="str"/>
    </x:row>
    <x:row r="41" ht="15" hidden="0" customHeight="1">
      <x:c r="A41" s="7" t="n">
        <x:v>40</x:v>
      </x:c>
      <x:c r="B41" s="6" t="str">
        <x:v>Theme_Nature</x:v>
      </x:c>
      <x:c r="C41" s="6" t="str">
        <x:v>P5</x:v>
      </x:c>
      <x:c r="D41" s="7" t="n">
        <x:v>36</x:v>
      </x:c>
      <x:c r="E41" s="7" t="n">
        <x:v>3</x:v>
      </x:c>
      <x:c r="F41" s="6" t="str"/>
    </x:row>
    <x:row r="44">
      <x:c r="A44" t="str">
        <x:v>출처: docs/SpecData/AlbumEntry_sheet.csv / 2026-09-18 로컬 스냅샷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26" hidden="0" customWidth="1"/>
    <x:col min="6" max="6" width="52" hidden="0" customWidth="1"/>
  </x:cols>
  <x:sheetData>
    <x:row r="1" ht="44" customHeight="1">
      <x:c r="A1" s="5" t="str">
        <x:v>id</x:v>
      </x:c>
      <x:c r="B1" s="5" t="str">
        <x:v>themeId</x:v>
      </x:c>
      <x:c r="C1" s="5" t="str">
        <x:v>order</x:v>
      </x:c>
      <x:c r="D1" s="5" t="str">
        <x:v>locked</x:v>
      </x:c>
      <x:c r="E1" s="5" t="str">
        <x:v>displayName</x:v>
      </x:c>
      <x:c r="F1" s="5" t="str">
        <x:v>description</x:v>
      </x:c>
    </x:row>
    <x:row r="2" ht="15" hidden="0" customHeight="1">
      <x:c r="A2" s="7" t="n">
        <x:v>1</x:v>
      </x:c>
      <x:c r="B2" s="6" t="str">
        <x:v>Theme_Nature</x:v>
      </x:c>
      <x:c r="C2" s="7" t="n">
        <x:v>0</x:v>
      </x:c>
      <x:c r="D2" s="7" t="n">
        <x:v>0</x:v>
      </x:c>
      <x:c r="E2" s="6" t="str">
        <x:v>덩굴숲</x:v>
      </x:c>
      <x:c r="F2" s="6" t="str">
        <x:v>덩굴 사이에 숨은 숲의 친구들</x:v>
      </x:c>
    </x:row>
    <x:row r="3" ht="15" hidden="0" customHeight="1">
      <x:c r="A3" s="7" t="n">
        <x:v>2</x:v>
      </x:c>
      <x:c r="B3" s="6" t="str">
        <x:v>Theme_Ocean</x:v>
      </x:c>
      <x:c r="C3" s="7" t="n">
        <x:v>1</x:v>
      </x:c>
      <x:c r="D3" s="7" t="n">
        <x:v>1</x:v>
      </x:c>
      <x:c r="E3" s="6" t="str">
        <x:v>푸른바다</x:v>
      </x:c>
      <x:c r="F3" s="6" t="str">
        <x:v>파도 아래에서 헤엄치는 친구들</x:v>
      </x:c>
    </x:row>
    <x:row r="4" ht="15" hidden="0" customHeight="1">
      <x:c r="A4" s="7" t="n">
        <x:v>3</x:v>
      </x:c>
      <x:c r="B4" s="6" t="str">
        <x:v>Theme_Snow</x:v>
      </x:c>
      <x:c r="C4" s="7" t="n">
        <x:v>2</x:v>
      </x:c>
      <x:c r="D4" s="7" t="n">
        <x:v>1</x:v>
      </x:c>
      <x:c r="E4" s="6" t="str">
        <x:v>눈꽃설원</x:v>
      </x:c>
      <x:c r="F4" s="6" t="str">
        <x:v>눈보라 너머에서 기다리는 친구들</x:v>
      </x:c>
    </x:row>
    <x:row r="7">
      <x:c r="A7" t="str">
        <x:v>출처: docs/SpecData/AlbumThemeInfo_sheet.csv / 2026-09-18 로컬 스냅샷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44" customHeight="1">
      <x:c r="A1" s="5" t="str">
        <x:v>id</x:v>
      </x:c>
      <x:c r="B1" s="5" t="str">
        <x:v>maxLevel</x:v>
      </x:c>
      <x:c r="C1" s="5" t="str">
        <x:v>hpPerLevel</x:v>
      </x:c>
      <x:c r="D1" s="5" t="str">
        <x:v>baseEnhanceCost</x:v>
      </x:c>
      <x:c r="E1" s="5" t="str">
        <x:v>costGrowthPerLevel</x:v>
      </x:c>
      <x:c r="F1" s="5" t="str">
        <x:v>maxLimitBreak</x:v>
      </x:c>
    </x:row>
    <x:row r="2" ht="15" hidden="0" customHeight="1">
      <x:c r="A2" s="7" t="n">
        <x:v>1</x:v>
      </x:c>
      <x:c r="B2" s="7" t="n">
        <x:v>4</x:v>
      </x:c>
      <x:c r="C2" s="7" t="n">
        <x:v>4</x:v>
      </x:c>
      <x:c r="D2" s="7" t="n">
        <x:v>25</x:v>
      </x:c>
      <x:c r="E2" s="7" t="n">
        <x:v>50</x:v>
      </x:c>
      <x:c r="F2" s="7" t="n">
        <x:v>3</x:v>
      </x:c>
    </x:row>
    <x:row r="5">
      <x:c r="A5" t="str">
        <x:v>출처: docs/SpecData/CardEnhanceRule_sheet.csv / 2026-09-18 로컬 스냅샷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44" customHeight="1">
      <x:c r="A1" s="5" t="str">
        <x:v>id</x:v>
      </x:c>
      <x:c r="B1" s="5" t="str">
        <x:v>level</x:v>
      </x:c>
      <x:c r="C1" s="5" t="str">
        <x:v>costCurrency</x:v>
      </x:c>
      <x:c r="D1" s="5" t="str">
        <x:v>cost</x:v>
      </x:c>
    </x:row>
    <x:row r="2" ht="15" hidden="0" customHeight="1">
      <x:c r="A2" s="7" t="n">
        <x:v>1</x:v>
      </x:c>
      <x:c r="B2" s="7" t="n">
        <x:v>2</x:v>
      </x:c>
      <x:c r="C2" s="6" t="str">
        <x:v>Shard</x:v>
      </x:c>
      <x:c r="D2" s="7" t="n">
        <x:v>10</x:v>
      </x:c>
    </x:row>
    <x:row r="3" ht="15" hidden="0" customHeight="1">
      <x:c r="A3" s="7" t="n">
        <x:v>2</x:v>
      </x:c>
      <x:c r="B3" s="7" t="n">
        <x:v>3</x:v>
      </x:c>
      <x:c r="C3" s="6" t="str">
        <x:v>Shard</x:v>
      </x:c>
      <x:c r="D3" s="7" t="n">
        <x:v>20</x:v>
      </x:c>
    </x:row>
    <x:row r="4" ht="15" hidden="0" customHeight="1">
      <x:c r="A4" s="7" t="n">
        <x:v>3</x:v>
      </x:c>
      <x:c r="B4" s="7" t="n">
        <x:v>4</x:v>
      </x:c>
      <x:c r="C4" s="6" t="str">
        <x:v>Shard</x:v>
      </x:c>
      <x:c r="D4" s="7" t="n">
        <x:v>150</x:v>
      </x:c>
    </x:row>
    <x:row r="7">
      <x:c r="A7" t="str">
        <x:v>출처: docs/SpecData/CardEnhance_sheet.csv / 2026-09-18 로컬 스냅샷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52" hidden="0" customWidth="1"/>
  </x:cols>
  <x:sheetData>
    <x:row r="1" ht="44" customHeight="1">
      <x:c r="A1" s="5" t="str">
        <x:v>id</x:v>
      </x:c>
      <x:c r="B1" s="5" t="str">
        <x:v>gradeKey</x:v>
      </x:c>
      <x:c r="C1" s="5" t="str">
        <x:v>displayName</x:v>
      </x:c>
      <x:c r="D1" s="5" t="str">
        <x:v>sortOrder</x:v>
      </x:c>
      <x:c r="E1" s="5" t="str">
        <x:v>colorHex</x:v>
      </x:c>
      <x:c r="F1" s="5" t="str">
        <x:v>playsAppearCinematic</x:v>
      </x:c>
      <x:c r="G1" s="5" t="str">
        <x:v>memo</x:v>
      </x:c>
    </x:row>
    <x:row r="2" ht="15" hidden="0" customHeight="1">
      <x:c r="A2" s="7" t="n">
        <x:v>1</x:v>
      </x:c>
      <x:c r="B2" s="6" t="str">
        <x:v>Common</x:v>
      </x:c>
      <x:c r="C2" s="6" t="str">
        <x:v>일반</x:v>
      </x:c>
      <x:c r="D2" s="7" t="n">
        <x:v>1</x:v>
      </x:c>
      <x:c r="E2" s="6" t="str">
        <x:v>C9D1DA</x:v>
      </x:c>
      <x:c r="F2" s="7" t="n">
        <x:v>0</x:v>
      </x:c>
      <x:c r="G2" s="6" t="str">
        <x:v>기본 등급 · 팩 다수 배출</x:v>
      </x:c>
    </x:row>
    <x:row r="3" ht="15" hidden="0" customHeight="1">
      <x:c r="A3" s="7" t="n">
        <x:v>2</x:v>
      </x:c>
      <x:c r="B3" s="6" t="str">
        <x:v>Rare</x:v>
      </x:c>
      <x:c r="C3" s="6" t="str">
        <x:v>희귀</x:v>
      </x:c>
      <x:c r="D3" s="7" t="n">
        <x:v>2</x:v>
      </x:c>
      <x:c r="E3" s="6" t="str">
        <x:v>F2B33D</x:v>
      </x:c>
      <x:c r="F3" s="7" t="n">
        <x:v>0</x:v>
      </x:c>
      <x:c r="G3" s="6" t="str">
        <x:v>중간 등급</x:v>
      </x:c>
    </x:row>
    <x:row r="4" ht="15" hidden="0" customHeight="1">
      <x:c r="A4" s="7" t="n">
        <x:v>3</x:v>
      </x:c>
      <x:c r="B4" s="6" t="str">
        <x:v>Arcane</x:v>
      </x:c>
      <x:c r="C4" s="6" t="str">
        <x:v>신비</x:v>
      </x:c>
      <x:c r="D4" s="7" t="n">
        <x:v>3</x:v>
      </x:c>
      <x:c r="E4" s="6" t="str">
        <x:v>9B6BF5</x:v>
      </x:c>
      <x:c r="F4" s="7" t="n">
        <x:v>0</x:v>
      </x:c>
      <x:c r="G4" s="6" t="str">
        <x:v>상위 등급</x:v>
      </x:c>
    </x:row>
    <x:row r="5" ht="15" hidden="0" customHeight="1">
      <x:c r="A5" s="7" t="n">
        <x:v>4</x:v>
      </x:c>
      <x:c r="B5" s="6" t="str">
        <x:v>Mythic</x:v>
      </x:c>
      <x:c r="C5" s="6" t="str">
        <x:v>신화</x:v>
      </x:c>
      <x:c r="D5" s="7" t="n">
        <x:v>4</x:v>
      </x:c>
      <x:c r="E5" s="6" t="str">
        <x:v>FF5A36</x:v>
      </x:c>
      <x:c r="F5" s="7" t="n">
        <x:v>1</x:v>
      </x:c>
      <x:c r="G5" s="6" t="str">
        <x:v>최고 등급 · 등장 컷씬 대상</x:v>
      </x:c>
    </x:row>
    <x:row r="8">
      <x:c r="A8" t="str">
        <x:v>출처: docs/SpecData/CardGrade_sheet.csv / 2026-09-18 로컬 스냅샷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44" customHeight="1">
      <x:c r="A1" s="5" t="str">
        <x:v>id</x:v>
      </x:c>
      <x:c r="B1" s="5" t="str">
        <x:v>stage</x:v>
      </x:c>
      <x:c r="C1" s="5" t="str">
        <x:v>hpGain</x:v>
      </x:c>
      <x:c r="D1" s="5" t="str">
        <x:v>snackCost</x:v>
      </x:c>
    </x:row>
    <x:row r="2" ht="15" hidden="0" customHeight="1">
      <x:c r="A2" s="7" t="n">
        <x:v>1</x:v>
      </x:c>
      <x:c r="B2" s="7" t="n">
        <x:v>1</x:v>
      </x:c>
      <x:c r="C2" s="7" t="n">
        <x:v>1</x:v>
      </x:c>
      <x:c r="D2" s="7" t="n">
        <x:v>5</x:v>
      </x:c>
    </x:row>
    <x:row r="3" ht="15" hidden="0" customHeight="1">
      <x:c r="A3" s="7" t="n">
        <x:v>2</x:v>
      </x:c>
      <x:c r="B3" s="7" t="n">
        <x:v>2</x:v>
      </x:c>
      <x:c r="C3" s="7" t="n">
        <x:v>1</x:v>
      </x:c>
      <x:c r="D3" s="7" t="n">
        <x:v>10</x:v>
      </x:c>
    </x:row>
    <x:row r="4" ht="15" hidden="0" customHeight="1">
      <x:c r="A4" s="7" t="n">
        <x:v>3</x:v>
      </x:c>
      <x:c r="B4" s="7" t="n">
        <x:v>3</x:v>
      </x:c>
      <x:c r="C4" s="7" t="n">
        <x:v>1</x:v>
      </x:c>
      <x:c r="D4" s="7" t="n">
        <x:v>15</x:v>
      </x:c>
    </x:row>
    <x:row r="7">
      <x:c r="A7" t="str">
        <x:v>출처: docs/SpecData/CardLimitBreak_sheet.csv / 2026-09-18 로컬 스냅샷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26" hidden="0" customWidth="1"/>
    <x:col min="5" max="5" width="15" hidden="0" customWidth="1"/>
    <x:col min="6" max="6" width="26" hidden="0" customWidth="1"/>
  </x:cols>
  <x:sheetData>
    <x:row r="1" ht="44" customHeight="1">
      <x:c r="A1" s="5" t="str">
        <x:v>id</x:v>
      </x:c>
      <x:c r="B1" s="5" t="str">
        <x:v>packId</x:v>
      </x:c>
      <x:c r="C1" s="5" t="str">
        <x:v>minGrade</x:v>
      </x:c>
      <x:c r="D1" s="5" t="str">
        <x:v>cardId</x:v>
      </x:c>
      <x:c r="E1" s="5" t="str">
        <x:v>weight</x:v>
      </x:c>
      <x:c r="F1" s="5" t="str">
        <x:v>#cardName</x:v>
      </x:c>
    </x:row>
    <x:row r="2" ht="15" hidden="0" customHeight="1">
      <x:c r="A2" s="7" t="n">
        <x:v>1003</x:v>
      </x:c>
      <x:c r="B2" s="6" t="str">
        <x:v>NormalPack_TEST</x:v>
      </x:c>
      <x:c r="C2" s="6" t="str">
        <x:v>Bronze</x:v>
      </x:c>
      <x:c r="D2" s="7" t="n">
        <x:v>6</x:v>
      </x:c>
      <x:c r="E2" s="7" t="n">
        <x:v>400</x:v>
      </x:c>
      <x:c r="F2" s="6" t="str">
        <x:v>바위콩</x:v>
      </x:c>
    </x:row>
    <x:row r="3" ht="15" hidden="0" customHeight="1">
      <x:c r="A3" s="7" t="n">
        <x:v>1006</x:v>
      </x:c>
      <x:c r="B3" s="6" t="str">
        <x:v>NormalPack_TEST</x:v>
      </x:c>
      <x:c r="C3" s="6" t="str">
        <x:v>Bronze</x:v>
      </x:c>
      <x:c r="D3" s="7" t="n">
        <x:v>30</x:v>
      </x:c>
      <x:c r="E3" s="7" t="n">
        <x:v>400</x:v>
      </x:c>
      <x:c r="F3" s="6" t="str">
        <x:v>폭탄밤</x:v>
      </x:c>
    </x:row>
    <x:row r="4" ht="15" hidden="0" customHeight="1">
      <x:c r="A4" s="7" t="n">
        <x:v>1008</x:v>
      </x:c>
      <x:c r="B4" s="6" t="str">
        <x:v>NormalPack_TEST</x:v>
      </x:c>
      <x:c r="C4" s="6" t="str">
        <x:v>Bronze</x:v>
      </x:c>
      <x:c r="D4" s="7" t="n">
        <x:v>29</x:v>
      </x:c>
      <x:c r="E4" s="7" t="n">
        <x:v>400</x:v>
      </x:c>
      <x:c r="F4" s="6" t="str">
        <x:v>수정뿔루</x:v>
      </x:c>
    </x:row>
    <x:row r="5" ht="15" hidden="0" customHeight="1">
      <x:c r="A5" s="7" t="n">
        <x:v>1012</x:v>
      </x:c>
      <x:c r="B5" s="6" t="str">
        <x:v>NormalPack_TEST</x:v>
      </x:c>
      <x:c r="C5" s="6" t="str">
        <x:v>Bronze</x:v>
      </x:c>
      <x:c r="D5" s="7" t="n">
        <x:v>5</x:v>
      </x:c>
      <x:c r="E5" s="7" t="n">
        <x:v>400</x:v>
      </x:c>
      <x:c r="F5" s="6" t="str">
        <x:v>철갑몽치</x:v>
      </x:c>
    </x:row>
    <x:row r="6" ht="15" hidden="0" customHeight="1">
      <x:c r="A6" s="7" t="n">
        <x:v>1015</x:v>
      </x:c>
      <x:c r="B6" s="6" t="str">
        <x:v>NormalPack_TEST</x:v>
      </x:c>
      <x:c r="C6" s="6" t="str">
        <x:v>Bronze</x:v>
      </x:c>
      <x:c r="D6" s="7" t="n">
        <x:v>2</x:v>
      </x:c>
      <x:c r="E6" s="7" t="n">
        <x:v>663</x:v>
      </x:c>
      <x:c r="F6" s="6" t="str">
        <x:v>파도리</x:v>
      </x:c>
    </x:row>
    <x:row r="7" ht="15" hidden="0" customHeight="1">
      <x:c r="A7" s="7" t="n">
        <x:v>1017</x:v>
      </x:c>
      <x:c r="B7" s="6" t="str">
        <x:v>NormalPack_TEST</x:v>
      </x:c>
      <x:c r="C7" s="6" t="str">
        <x:v>Bronze</x:v>
      </x:c>
      <x:c r="D7" s="7" t="n">
        <x:v>18</x:v>
      </x:c>
      <x:c r="E7" s="7" t="n">
        <x:v>663</x:v>
      </x:c>
      <x:c r="F7" s="6" t="str">
        <x:v>모래몽</x:v>
      </x:c>
    </x:row>
    <x:row r="8" ht="15" hidden="0" customHeight="1">
      <x:c r="A8" s="7" t="n">
        <x:v>1018</x:v>
      </x:c>
      <x:c r="B8" s="6" t="str">
        <x:v>NormalPack_TEST</x:v>
      </x:c>
      <x:c r="C8" s="6" t="str">
        <x:v>Bronze</x:v>
      </x:c>
      <x:c r="D8" s="7" t="n">
        <x:v>17</x:v>
      </x:c>
      <x:c r="E8" s="7" t="n">
        <x:v>663</x:v>
      </x:c>
      <x:c r="F8" s="6" t="str">
        <x:v>와글도도</x:v>
      </x:c>
    </x:row>
    <x:row r="9" ht="15" hidden="0" customHeight="1">
      <x:c r="A9" s="7" t="n">
        <x:v>1040</x:v>
      </x:c>
      <x:c r="B9" s="6" t="str">
        <x:v>UltraPack</x:v>
      </x:c>
      <x:c r="C9" s="6" t="str">
        <x:v>Bronze</x:v>
      </x:c>
      <x:c r="D9" s="7" t="n">
        <x:v>10</x:v>
      </x:c>
      <x:c r="E9" s="7" t="n">
        <x:v>346</x:v>
      </x:c>
      <x:c r="F9" s="6" t="str">
        <x:v>꿈먹이</x:v>
      </x:c>
    </x:row>
    <x:row r="10" ht="15" hidden="0" customHeight="1">
      <x:c r="A10" s="7" t="n">
        <x:v>1041</x:v>
      </x:c>
      <x:c r="B10" s="6" t="str">
        <x:v>UltraPack</x:v>
      </x:c>
      <x:c r="C10" s="6" t="str">
        <x:v>Bronze</x:v>
      </x:c>
      <x:c r="D10" s="7" t="n">
        <x:v>12</x:v>
      </x:c>
      <x:c r="E10" s="7" t="n">
        <x:v>100</x:v>
      </x:c>
      <x:c r="F10" s="6" t="str">
        <x:v>대장부리</x:v>
      </x:c>
    </x:row>
    <x:row r="11" ht="15" hidden="0" customHeight="1">
      <x:c r="A11" s="7" t="n">
        <x:v>1042</x:v>
      </x:c>
      <x:c r="B11" s="6" t="str">
        <x:v>UltraPack</x:v>
      </x:c>
      <x:c r="C11" s="6" t="str">
        <x:v>Bronze</x:v>
      </x:c>
      <x:c r="D11" s="7" t="n">
        <x:v>14</x:v>
      </x:c>
      <x:c r="E11" s="7" t="n">
        <x:v>346</x:v>
      </x:c>
      <x:c r="F11" s="6" t="str">
        <x:v>해롱문어</x:v>
      </x:c>
    </x:row>
    <x:row r="12" ht="15" hidden="0" customHeight="1">
      <x:c r="A12" s="7" t="n">
        <x:v>1043</x:v>
      </x:c>
      <x:c r="B12" s="6" t="str">
        <x:v>UltraPack</x:v>
      </x:c>
      <x:c r="C12" s="6" t="str">
        <x:v>Bronze</x:v>
      </x:c>
      <x:c r="D12" s="7" t="n">
        <x:v>15</x:v>
      </x:c>
      <x:c r="E12" s="7" t="n">
        <x:v>1327</x:v>
      </x:c>
      <x:c r="F12" s="6" t="str">
        <x:v>물방울룽</x:v>
      </x:c>
    </x:row>
    <x:row r="13" ht="15" hidden="0" customHeight="1">
      <x:c r="A13" s="7" t="n">
        <x:v>1044</x:v>
      </x:c>
      <x:c r="B13" s="6" t="str">
        <x:v>UltraPack</x:v>
      </x:c>
      <x:c r="C13" s="6" t="str">
        <x:v>Bronze</x:v>
      </x:c>
      <x:c r="D13" s="7" t="n">
        <x:v>16</x:v>
      </x:c>
      <x:c r="E13" s="7" t="n">
        <x:v>1326</x:v>
      </x:c>
      <x:c r="F13" s="6" t="str">
        <x:v>풍선펭</x:v>
      </x:c>
    </x:row>
    <x:row r="14" ht="15" hidden="0" customHeight="1">
      <x:c r="A14" s="7" t="n">
        <x:v>1045</x:v>
      </x:c>
      <x:c r="B14" s="6" t="str">
        <x:v>UltraPack</x:v>
      </x:c>
      <x:c r="C14" s="6" t="str">
        <x:v>Bronze</x:v>
      </x:c>
      <x:c r="D14" s="7" t="n">
        <x:v>25</x:v>
      </x:c>
      <x:c r="E14" s="7" t="n">
        <x:v>346</x:v>
      </x:c>
      <x:c r="F14" s="6" t="str">
        <x:v>찌릿핀</x:v>
      </x:c>
    </x:row>
    <x:row r="15" ht="15" hidden="0" customHeight="1">
      <x:c r="A15" s="7" t="n">
        <x:v>1046</x:v>
      </x:c>
      <x:c r="B15" s="6" t="str">
        <x:v>UltraPack</x:v>
      </x:c>
      <x:c r="C15" s="6" t="str">
        <x:v>Bronze</x:v>
      </x:c>
      <x:c r="D15" s="7" t="n">
        <x:v>13</x:v>
      </x:c>
      <x:c r="E15" s="7" t="n">
        <x:v>346</x:v>
      </x:c>
      <x:c r="F15" s="6" t="str">
        <x:v>늪꾸리</x:v>
      </x:c>
    </x:row>
    <x:row r="16" ht="15" hidden="0" customHeight="1">
      <x:c r="A16" s="7" t="n">
        <x:v>1047</x:v>
      </x:c>
      <x:c r="B16" s="6" t="str">
        <x:v>UltraPack</x:v>
      </x:c>
      <x:c r="C16" s="6" t="str">
        <x:v>Bronze</x:v>
      </x:c>
      <x:c r="D16" s="7" t="n">
        <x:v>19</x:v>
      </x:c>
      <x:c r="E16" s="7" t="n">
        <x:v>1326</x:v>
      </x:c>
      <x:c r="F16" s="6" t="str">
        <x:v>얼음꼬미</x:v>
      </x:c>
    </x:row>
    <x:row r="17" ht="15" hidden="0" customHeight="1">
      <x:c r="A17" s="7" t="n">
        <x:v>1048</x:v>
      </x:c>
      <x:c r="B17" s="6" t="str">
        <x:v>UltraPack</x:v>
      </x:c>
      <x:c r="C17" s="6" t="str">
        <x:v>Bronze</x:v>
      </x:c>
      <x:c r="D17" s="7" t="n">
        <x:v>3</x:v>
      </x:c>
      <x:c r="E17" s="7" t="n">
        <x:v>1326</x:v>
      </x:c>
      <x:c r="F17" s="6" t="str">
        <x:v>별토리</x:v>
      </x:c>
    </x:row>
    <x:row r="18" ht="15" hidden="0" customHeight="1">
      <x:c r="A18" s="7" t="n">
        <x:v>1049</x:v>
      </x:c>
      <x:c r="B18" s="6" t="str">
        <x:v>UltraPack</x:v>
      </x:c>
      <x:c r="C18" s="6" t="str">
        <x:v>Bronze</x:v>
      </x:c>
      <x:c r="D18" s="7" t="n">
        <x:v>1</x:v>
      </x:c>
      <x:c r="E18" s="7" t="n">
        <x:v>1326</x:v>
      </x:c>
      <x:c r="F18" s="6" t="str">
        <x:v>포슬램</x:v>
      </x:c>
    </x:row>
    <x:row r="19" ht="15" hidden="0" customHeight="1">
      <x:c r="A19" s="7" t="n">
        <x:v>1050</x:v>
      </x:c>
      <x:c r="B19" s="6" t="str">
        <x:v>UltraPack</x:v>
      </x:c>
      <x:c r="C19" s="6" t="str">
        <x:v>Bronze</x:v>
      </x:c>
      <x:c r="D19" s="7" t="n">
        <x:v>24</x:v>
      </x:c>
      <x:c r="E19" s="7" t="n">
        <x:v>345</x:v>
      </x:c>
      <x:c r="F19" s="6" t="str">
        <x:v>화르룩스</x:v>
      </x:c>
    </x:row>
    <x:row r="20" ht="15" hidden="0" customHeight="1">
      <x:c r="A20" s="7" t="n">
        <x:v>1053</x:v>
      </x:c>
      <x:c r="B20" s="6" t="str">
        <x:v>KeywordDeck</x:v>
      </x:c>
      <x:c r="C20" s="6" t="str">
        <x:v>Bronze</x:v>
      </x:c>
      <x:c r="D20" s="7" t="n">
        <x:v>3</x:v>
      </x:c>
      <x:c r="E20" s="7" t="n">
        <x:v>1</x:v>
      </x:c>
      <x:c r="F20" s="6" t="str">
        <x:v>별토리</x:v>
      </x:c>
    </x:row>
    <x:row r="21" ht="15" hidden="0" customHeight="1">
      <x:c r="A21" s="7" t="n">
        <x:v>1056</x:v>
      </x:c>
      <x:c r="B21" s="6" t="str">
        <x:v>KeywordDeck</x:v>
      </x:c>
      <x:c r="C21" s="6" t="str">
        <x:v>Bronze</x:v>
      </x:c>
      <x:c r="D21" s="7" t="n">
        <x:v>11</x:v>
      </x:c>
      <x:c r="E21" s="7" t="n">
        <x:v>1</x:v>
      </x:c>
      <x:c r="F21" s="6" t="str">
        <x:v>우드혼</x:v>
      </x:c>
    </x:row>
    <x:row r="22" ht="15" hidden="0" customHeight="1">
      <x:c r="A22" s="7" t="n">
        <x:v>1057</x:v>
      </x:c>
      <x:c r="B22" s="6" t="str">
        <x:v>StarterPack</x:v>
      </x:c>
      <x:c r="C22" s="6" t="str">
        <x:v>Bronze</x:v>
      </x:c>
      <x:c r="D22" s="7" t="n">
        <x:v>1</x:v>
      </x:c>
      <x:c r="E22" s="7" t="n">
        <x:v>1</x:v>
      </x:c>
      <x:c r="F22" s="6" t="str">
        <x:v>포슬램</x:v>
      </x:c>
    </x:row>
    <x:row r="23" ht="15" hidden="0" customHeight="1">
      <x:c r="A23" s="7" t="n">
        <x:v>1058</x:v>
      </x:c>
      <x:c r="B23" s="6" t="str">
        <x:v>StarterPack</x:v>
      </x:c>
      <x:c r="C23" s="6" t="str">
        <x:v>Bronze</x:v>
      </x:c>
      <x:c r="D23" s="7" t="n">
        <x:v>2</x:v>
      </x:c>
      <x:c r="E23" s="7" t="n">
        <x:v>1</x:v>
      </x:c>
      <x:c r="F23" s="6" t="str">
        <x:v>파도리</x:v>
      </x:c>
    </x:row>
    <x:row r="24" ht="15" hidden="0" customHeight="1">
      <x:c r="A24" s="7" t="n">
        <x:v>1059</x:v>
      </x:c>
      <x:c r="B24" s="6" t="str">
        <x:v>StarterPack</x:v>
      </x:c>
      <x:c r="C24" s="6" t="str">
        <x:v>Bronze</x:v>
      </x:c>
      <x:c r="D24" s="7" t="n">
        <x:v>20</x:v>
      </x:c>
      <x:c r="E24" s="7" t="n">
        <x:v>1</x:v>
      </x:c>
      <x:c r="F24" s="6" t="str">
        <x:v>꿀꿀비</x:v>
      </x:c>
    </x:row>
    <x:row r="25" ht="15" hidden="0" customHeight="1">
      <x:c r="A25" s="7" t="n">
        <x:v>1060</x:v>
      </x:c>
      <x:c r="B25" s="6" t="str">
        <x:v>StarterPack</x:v>
      </x:c>
      <x:c r="C25" s="6" t="str">
        <x:v>Bronze</x:v>
      </x:c>
      <x:c r="D25" s="7" t="n">
        <x:v>4</x:v>
      </x:c>
      <x:c r="E25" s="7" t="n">
        <x:v>1</x:v>
      </x:c>
      <x:c r="F25" s="6" t="str">
        <x:v>솜구름몽</x:v>
      </x:c>
    </x:row>
    <x:row r="26" ht="15" hidden="0" customHeight="1">
      <x:c r="A26" s="7" t="n">
        <x:v>1061</x:v>
      </x:c>
      <x:c r="B26" s="6" t="str">
        <x:v>StarterPack</x:v>
      </x:c>
      <x:c r="C26" s="6" t="str">
        <x:v>Bronze</x:v>
      </x:c>
      <x:c r="D26" s="7" t="n">
        <x:v>15</x:v>
      </x:c>
      <x:c r="E26" s="7" t="n">
        <x:v>1</x:v>
      </x:c>
      <x:c r="F26" s="6" t="str">
        <x:v>물방울룽</x:v>
      </x:c>
    </x:row>
    <x:row r="27" ht="15" hidden="0" customHeight="1">
      <x:c r="A27" s="7" t="n">
        <x:v>1062</x:v>
      </x:c>
      <x:c r="B27" s="6" t="str">
        <x:v>StarterPack</x:v>
      </x:c>
      <x:c r="C27" s="6" t="str">
        <x:v>Bronze</x:v>
      </x:c>
      <x:c r="D27" s="7" t="n">
        <x:v>35</x:v>
      </x:c>
      <x:c r="E27" s="7" t="n">
        <x:v>1</x:v>
      </x:c>
      <x:c r="F27" s="6" t="str">
        <x:v>우드혼</x:v>
      </x:c>
    </x:row>
    <x:row r="28" ht="15" hidden="0" customHeight="1">
      <x:c r="A28" s="7" t="n">
        <x:v>1063</x:v>
      </x:c>
      <x:c r="B28" s="6" t="str">
        <x:v>SynergyPack</x:v>
      </x:c>
      <x:c r="C28" s="6" t="str">
        <x:v>Bronze</x:v>
      </x:c>
      <x:c r="D28" s="7" t="n">
        <x:v>20</x:v>
      </x:c>
      <x:c r="E28" s="7" t="n">
        <x:v>1</x:v>
      </x:c>
      <x:c r="F28" s="6" t="str">
        <x:v>꿀꿀비</x:v>
      </x:c>
    </x:row>
    <x:row r="29" ht="15" hidden="0" customHeight="1">
      <x:c r="A29" s="7" t="n">
        <x:v>1064</x:v>
      </x:c>
      <x:c r="B29" s="6" t="str">
        <x:v>SynergyPack</x:v>
      </x:c>
      <x:c r="C29" s="6" t="str">
        <x:v>Bronze</x:v>
      </x:c>
      <x:c r="D29" s="7" t="n">
        <x:v>18</x:v>
      </x:c>
      <x:c r="E29" s="7" t="n">
        <x:v>1</x:v>
      </x:c>
      <x:c r="F29" s="6" t="str">
        <x:v>모래몽</x:v>
      </x:c>
    </x:row>
    <x:row r="30" ht="15" hidden="0" customHeight="1">
      <x:c r="A30" s="7" t="n">
        <x:v>1065</x:v>
      </x:c>
      <x:c r="B30" s="6" t="str">
        <x:v>SynergyPack</x:v>
      </x:c>
      <x:c r="C30" s="6" t="str">
        <x:v>Bronze</x:v>
      </x:c>
      <x:c r="D30" s="7" t="n">
        <x:v>17</x:v>
      </x:c>
      <x:c r="E30" s="7" t="n">
        <x:v>1</x:v>
      </x:c>
      <x:c r="F30" s="6" t="str">
        <x:v>와글도도</x:v>
      </x:c>
    </x:row>
    <x:row r="31" ht="15" hidden="0" customHeight="1">
      <x:c r="A31" s="7" t="n">
        <x:v>1066</x:v>
      </x:c>
      <x:c r="B31" s="6" t="str">
        <x:v>SynergyPack</x:v>
      </x:c>
      <x:c r="C31" s="6" t="str">
        <x:v>Bronze</x:v>
      </x:c>
      <x:c r="D31" s="7" t="n">
        <x:v>19</x:v>
      </x:c>
      <x:c r="E31" s="7" t="n">
        <x:v>1</x:v>
      </x:c>
      <x:c r="F31" s="6" t="str">
        <x:v>얼음꼬미</x:v>
      </x:c>
    </x:row>
    <x:row r="32" ht="15" hidden="0" customHeight="1">
      <x:c r="A32" s="7" t="n">
        <x:v>1068</x:v>
      </x:c>
      <x:c r="B32" s="6" t="str">
        <x:v>SynergyPack</x:v>
      </x:c>
      <x:c r="C32" s="6" t="str">
        <x:v>Bronze</x:v>
      </x:c>
      <x:c r="D32" s="7" t="n">
        <x:v>30</x:v>
      </x:c>
      <x:c r="E32" s="7" t="n">
        <x:v>1</x:v>
      </x:c>
      <x:c r="F32" s="6" t="str">
        <x:v>폭탄밤</x:v>
      </x:c>
    </x:row>
    <x:row r="33" ht="15" hidden="0" customHeight="1">
      <x:c r="A33" s="7" t="n">
        <x:v>1069</x:v>
      </x:c>
      <x:c r="B33" s="6" t="str">
        <x:v>UltraPack</x:v>
      </x:c>
      <x:c r="C33" s="6" t="str">
        <x:v>Bronze</x:v>
      </x:c>
      <x:c r="D33" s="7" t="n">
        <x:v>7</x:v>
      </x:c>
      <x:c r="E33" s="7" t="n">
        <x:v>345</x:v>
      </x:c>
      <x:c r="F33" s="6" t="str">
        <x:v>왕밤도치</x:v>
      </x:c>
    </x:row>
    <x:row r="34" ht="15" hidden="0" customHeight="1">
      <x:c r="A34" s="7" t="n">
        <x:v>1070</x:v>
      </x:c>
      <x:c r="B34" s="6" t="str">
        <x:v>UltraPack</x:v>
      </x:c>
      <x:c r="C34" s="6" t="str">
        <x:v>Bronze</x:v>
      </x:c>
      <x:c r="D34" s="7" t="n">
        <x:v>21</x:v>
      </x:c>
      <x:c r="E34" s="7" t="n">
        <x:v>100</x:v>
      </x:c>
      <x:c r="F34" s="6" t="str">
        <x:v>자석게</x:v>
      </x:c>
    </x:row>
    <x:row r="35" ht="15" hidden="0" customHeight="1">
      <x:c r="A35" s="7" t="n">
        <x:v>1071</x:v>
      </x:c>
      <x:c r="B35" s="6" t="str">
        <x:v>UltraPack</x:v>
      </x:c>
      <x:c r="C35" s="6" t="str">
        <x:v>Bronze</x:v>
      </x:c>
      <x:c r="D35" s="7" t="n">
        <x:v>23</x:v>
      </x:c>
      <x:c r="E35" s="7" t="n">
        <x:v>345</x:v>
      </x:c>
      <x:c r="F35" s="6" t="str">
        <x:v>눈덩곰</x:v>
      </x:c>
    </x:row>
    <x:row r="36" ht="15" hidden="0" customHeight="1">
      <x:c r="A36" s="7" t="n">
        <x:v>1072</x:v>
      </x:c>
      <x:c r="B36" s="6" t="str">
        <x:v>UltraPack</x:v>
      </x:c>
      <x:c r="C36" s="6" t="str">
        <x:v>Bronze</x:v>
      </x:c>
      <x:c r="D36" s="7" t="n">
        <x:v>26</x:v>
      </x:c>
      <x:c r="E36" s="7" t="n">
        <x:v>345</x:v>
      </x:c>
      <x:c r="F36" s="6" t="str">
        <x:v>번개뿔</x:v>
      </x:c>
    </x:row>
    <x:row r="37" ht="15" hidden="0" customHeight="1">
      <x:c r="A37" s="7" t="n">
        <x:v>1073</x:v>
      </x:c>
      <x:c r="B37" s="6" t="str">
        <x:v>UltraPack</x:v>
      </x:c>
      <x:c r="C37" s="6" t="str">
        <x:v>Bronze</x:v>
      </x:c>
      <x:c r="D37" s="7" t="n">
        <x:v>27</x:v>
      </x:c>
      <x:c r="E37" s="7" t="n">
        <x:v>345</x:v>
      </x:c>
      <x:c r="F37" s="6" t="str">
        <x:v>모닥콩</x:v>
      </x:c>
    </x:row>
    <x:row r="38" ht="15" hidden="0" customHeight="1">
      <x:c r="A38" s="7" t="n">
        <x:v>1074</x:v>
      </x:c>
      <x:c r="B38" s="6" t="str">
        <x:v>UltraPack</x:v>
      </x:c>
      <x:c r="C38" s="6" t="str">
        <x:v>Bronze</x:v>
      </x:c>
      <x:c r="D38" s="7" t="n">
        <x:v>39</x:v>
      </x:c>
      <x:c r="E38" s="7" t="n">
        <x:v>30</x:v>
      </x:c>
      <x:c r="F38" s="6" t="str">
        <x:v>라이고르</x:v>
      </x:c>
    </x:row>
    <x:row r="39" ht="15" hidden="0" customHeight="1">
      <x:c r="A39" s="7" t="n">
        <x:v>1075</x:v>
      </x:c>
      <x:c r="B39" s="6" t="str">
        <x:v>UltraPack</x:v>
      </x:c>
      <x:c r="C39" s="6" t="str">
        <x:v>Bronze</x:v>
      </x:c>
      <x:c r="D39" s="7" t="n">
        <x:v>40</x:v>
      </x:c>
      <x:c r="E39" s="7" t="n">
        <x:v>30</x:v>
      </x:c>
      <x:c r="F39" s="6" t="str">
        <x:v>피닉시아</x:v>
      </x:c>
    </x:row>
    <x:row r="40" ht="15" hidden="0" customHeight="1">
      <x:c r="A40" s="7" t="n">
        <x:v>1076</x:v>
      </x:c>
      <x:c r="B40" s="6" t="str">
        <x:v>KeywordDeck</x:v>
      </x:c>
      <x:c r="C40" s="6" t="str">
        <x:v>Bronze</x:v>
      </x:c>
      <x:c r="D40" s="7" t="n">
        <x:v>26</x:v>
      </x:c>
      <x:c r="E40" s="7" t="n">
        <x:v>1</x:v>
      </x:c>
      <x:c r="F40" s="6" t="str">
        <x:v>번개뿔</x:v>
      </x:c>
    </x:row>
    <x:row r="41" ht="15" hidden="0" customHeight="1">
      <x:c r="A41" s="7" t="n">
        <x:v>1077</x:v>
      </x:c>
      <x:c r="B41" s="6" t="str">
        <x:v>SynergyPack</x:v>
      </x:c>
      <x:c r="C41" s="6" t="str">
        <x:v>Bronze</x:v>
      </x:c>
      <x:c r="D41" s="7" t="n">
        <x:v>35</x:v>
      </x:c>
      <x:c r="E41" s="7" t="n">
        <x:v>1</x:v>
      </x:c>
      <x:c r="F41" s="6" t="str">
        <x:v>문바이트</x:v>
      </x:c>
    </x:row>
    <x:row r="42" ht="15" hidden="0" customHeight="1">
      <x:c r="A42" s="7" t="n">
        <x:v>1078</x:v>
      </x:c>
      <x:c r="B42" s="6" t="str">
        <x:v>NormalPack_TEST</x:v>
      </x:c>
      <x:c r="C42" s="6" t="str">
        <x:v>Bronze</x:v>
      </x:c>
      <x:c r="D42" s="7" t="n">
        <x:v>1</x:v>
      </x:c>
      <x:c r="E42" s="7" t="n">
        <x:v>663</x:v>
      </x:c>
      <x:c r="F42" s="6" t="str">
        <x:v>포슬램</x:v>
      </x:c>
    </x:row>
    <x:row r="43" ht="15" hidden="0" customHeight="1">
      <x:c r="A43" s="7" t="n">
        <x:v>1079</x:v>
      </x:c>
      <x:c r="B43" s="6" t="str">
        <x:v>NormalPack_TEST</x:v>
      </x:c>
      <x:c r="C43" s="6" t="str">
        <x:v>Bronze</x:v>
      </x:c>
      <x:c r="D43" s="7" t="n">
        <x:v>3</x:v>
      </x:c>
      <x:c r="E43" s="7" t="n">
        <x:v>663</x:v>
      </x:c>
      <x:c r="F43" s="6" t="str">
        <x:v>별토리</x:v>
      </x:c>
    </x:row>
    <x:row r="44" ht="15" hidden="0" customHeight="1">
      <x:c r="A44" s="7" t="n">
        <x:v>1080</x:v>
      </x:c>
      <x:c r="B44" s="6" t="str">
        <x:v>NormalPack_TEST</x:v>
      </x:c>
      <x:c r="C44" s="6" t="str">
        <x:v>Bronze</x:v>
      </x:c>
      <x:c r="D44" s="7" t="n">
        <x:v>19</x:v>
      </x:c>
      <x:c r="E44" s="7" t="n">
        <x:v>663</x:v>
      </x:c>
      <x:c r="F44" s="6" t="str">
        <x:v>얼음꼬미</x:v>
      </x:c>
    </x:row>
    <x:row r="45" ht="15" hidden="0" customHeight="1">
      <x:c r="A45" s="7" t="n">
        <x:v>1081</x:v>
      </x:c>
      <x:c r="B45" s="6" t="str">
        <x:v>NormalPack_TEST</x:v>
      </x:c>
      <x:c r="C45" s="6" t="str">
        <x:v>Silver</x:v>
      </x:c>
      <x:c r="D45" s="7" t="n">
        <x:v>1</x:v>
      </x:c>
      <x:c r="E45" s="7" t="n">
        <x:v>663</x:v>
      </x:c>
      <x:c r="F45" s="6" t="str">
        <x:v>포슬램</x:v>
      </x:c>
    </x:row>
    <x:row r="46" ht="15" hidden="0" customHeight="1">
      <x:c r="A46" s="7" t="n">
        <x:v>1082</x:v>
      </x:c>
      <x:c r="B46" s="6" t="str">
        <x:v>NormalPack_TEST</x:v>
      </x:c>
      <x:c r="C46" s="6" t="str">
        <x:v>Silver</x:v>
      </x:c>
      <x:c r="D46" s="7" t="n">
        <x:v>2</x:v>
      </x:c>
      <x:c r="E46" s="7" t="n">
        <x:v>663</x:v>
      </x:c>
      <x:c r="F46" s="6" t="str">
        <x:v>파도리</x:v>
      </x:c>
    </x:row>
    <x:row r="47" ht="15" hidden="0" customHeight="1">
      <x:c r="A47" s="7" t="n">
        <x:v>1083</x:v>
      </x:c>
      <x:c r="B47" s="6" t="str">
        <x:v>NormalPack_TEST</x:v>
      </x:c>
      <x:c r="C47" s="6" t="str">
        <x:v>Silver</x:v>
      </x:c>
      <x:c r="D47" s="7" t="n">
        <x:v>3</x:v>
      </x:c>
      <x:c r="E47" s="7" t="n">
        <x:v>663</x:v>
      </x:c>
      <x:c r="F47" s="6" t="str">
        <x:v>별토리</x:v>
      </x:c>
    </x:row>
    <x:row r="48" ht="15" hidden="0" customHeight="1">
      <x:c r="A48" s="7" t="n">
        <x:v>1084</x:v>
      </x:c>
      <x:c r="B48" s="6" t="str">
        <x:v>NormalPack_TEST</x:v>
      </x:c>
      <x:c r="C48" s="6" t="str">
        <x:v>Silver</x:v>
      </x:c>
      <x:c r="D48" s="7" t="n">
        <x:v>4</x:v>
      </x:c>
      <x:c r="E48" s="7" t="n">
        <x:v>663</x:v>
      </x:c>
      <x:c r="F48" s="6" t="str">
        <x:v>솜구름몽</x:v>
      </x:c>
    </x:row>
    <x:row r="49" ht="15" hidden="0" customHeight="1">
      <x:c r="A49" s="7" t="n">
        <x:v>1085</x:v>
      </x:c>
      <x:c r="B49" s="6" t="str">
        <x:v>NormalPack_TEST</x:v>
      </x:c>
      <x:c r="C49" s="6" t="str">
        <x:v>Silver</x:v>
      </x:c>
      <x:c r="D49" s="7" t="n">
        <x:v>9</x:v>
      </x:c>
      <x:c r="E49" s="7" t="n">
        <x:v>663</x:v>
      </x:c>
      <x:c r="F49" s="6" t="str">
        <x:v>버섯냥</x:v>
      </x:c>
    </x:row>
    <x:row r="50" ht="15" hidden="0" customHeight="1">
      <x:c r="A50" s="7" t="n">
        <x:v>1086</x:v>
      </x:c>
      <x:c r="B50" s="6" t="str">
        <x:v>NormalPack_TEST</x:v>
      </x:c>
      <x:c r="C50" s="6" t="str">
        <x:v>Silver</x:v>
      </x:c>
      <x:c r="D50" s="7" t="n">
        <x:v>13</x:v>
      </x:c>
      <x:c r="E50" s="7" t="n">
        <x:v>250</x:v>
      </x:c>
      <x:c r="F50" s="6" t="str">
        <x:v>늪꾸리</x:v>
      </x:c>
    </x:row>
    <x:row r="51" ht="15" hidden="0" customHeight="1">
      <x:c r="A51" s="7" t="n">
        <x:v>1087</x:v>
      </x:c>
      <x:c r="B51" s="6" t="str">
        <x:v>NormalPack_TEST</x:v>
      </x:c>
      <x:c r="C51" s="6" t="str">
        <x:v>Silver</x:v>
      </x:c>
      <x:c r="D51" s="7" t="n">
        <x:v>17</x:v>
      </x:c>
      <x:c r="E51" s="7" t="n">
        <x:v>663</x:v>
      </x:c>
      <x:c r="F51" s="6" t="str">
        <x:v>와글도도</x:v>
      </x:c>
    </x:row>
    <x:row r="52" ht="15" hidden="0" customHeight="1">
      <x:c r="A52" s="7" t="n">
        <x:v>1088</x:v>
      </x:c>
      <x:c r="B52" s="6" t="str">
        <x:v>NormalPack_TEST</x:v>
      </x:c>
      <x:c r="C52" s="6" t="str">
        <x:v>Silver</x:v>
      </x:c>
      <x:c r="D52" s="7" t="n">
        <x:v>18</x:v>
      </x:c>
      <x:c r="E52" s="7" t="n">
        <x:v>662</x:v>
      </x:c>
      <x:c r="F52" s="6" t="str">
        <x:v>모래몽</x:v>
      </x:c>
    </x:row>
    <x:row r="53" ht="15" hidden="0" customHeight="1">
      <x:c r="A53" s="7" t="n">
        <x:v>1089</x:v>
      </x:c>
      <x:c r="B53" s="6" t="str">
        <x:v>NormalPack_TEST</x:v>
      </x:c>
      <x:c r="C53" s="6" t="str">
        <x:v>Silver</x:v>
      </x:c>
      <x:c r="D53" s="7" t="n">
        <x:v>19</x:v>
      </x:c>
      <x:c r="E53" s="7" t="n">
        <x:v>662</x:v>
      </x:c>
      <x:c r="F53" s="6" t="str">
        <x:v>얼음꼬미</x:v>
      </x:c>
    </x:row>
    <x:row r="54" ht="15" hidden="0" customHeight="1">
      <x:c r="A54" s="7" t="n">
        <x:v>1090</x:v>
      </x:c>
      <x:c r="B54" s="6" t="str">
        <x:v>NormalPack_TEST</x:v>
      </x:c>
      <x:c r="C54" s="6" t="str">
        <x:v>Silver</x:v>
      </x:c>
      <x:c r="D54" s="7" t="n">
        <x:v>29</x:v>
      </x:c>
      <x:c r="E54" s="7" t="n">
        <x:v>250</x:v>
      </x:c>
      <x:c r="F54" s="6" t="str">
        <x:v>수정뿔루</x:v>
      </x:c>
    </x:row>
    <x:row r="55" ht="15" hidden="0" customHeight="1">
      <x:c r="A55" s="7" t="n">
        <x:v>1091</x:v>
      </x:c>
      <x:c r="B55" s="6" t="str">
        <x:v>NormalPack_TEST</x:v>
      </x:c>
      <x:c r="C55" s="6" t="str">
        <x:v>Silver</x:v>
      </x:c>
      <x:c r="D55" s="7" t="n">
        <x:v>30</x:v>
      </x:c>
      <x:c r="E55" s="7" t="n">
        <x:v>250</x:v>
      </x:c>
      <x:c r="F55" s="6" t="str">
        <x:v>폭탄밤</x:v>
      </x:c>
    </x:row>
    <x:row r="56" ht="15" hidden="0" customHeight="1">
      <x:c r="A56" s="7" t="n">
        <x:v>1092</x:v>
      </x:c>
      <x:c r="B56" s="6" t="str">
        <x:v>NormalPack_TEST</x:v>
      </x:c>
      <x:c r="C56" s="6" t="str">
        <x:v>Silver</x:v>
      </x:c>
      <x:c r="D56" s="7" t="n">
        <x:v>5</x:v>
      </x:c>
      <x:c r="E56" s="7" t="n">
        <x:v>250</x:v>
      </x:c>
      <x:c r="F56" s="6" t="str">
        <x:v>철갑몽치</x:v>
      </x:c>
    </x:row>
    <x:row r="57" ht="15" hidden="0" customHeight="1">
      <x:c r="A57" s="7" t="n">
        <x:v>1093</x:v>
      </x:c>
      <x:c r="B57" s="6" t="str">
        <x:v>NormalPack_TEST</x:v>
      </x:c>
      <x:c r="C57" s="6" t="str">
        <x:v>Silver</x:v>
      </x:c>
      <x:c r="D57" s="7" t="n">
        <x:v>6</x:v>
      </x:c>
      <x:c r="E57" s="7" t="n">
        <x:v>250</x:v>
      </x:c>
      <x:c r="F57" s="6" t="str">
        <x:v>바위콩</x:v>
      </x:c>
    </x:row>
    <x:row r="58" ht="15" hidden="0" customHeight="1">
      <x:c r="A58" s="7" t="n">
        <x:v>1094</x:v>
      </x:c>
      <x:c r="B58" s="6" t="str">
        <x:v>NormalPack_TEST</x:v>
      </x:c>
      <x:c r="C58" s="6" t="str">
        <x:v>Silver</x:v>
      </x:c>
      <x:c r="D58" s="7" t="n">
        <x:v>8</x:v>
      </x:c>
      <x:c r="E58" s="7" t="n">
        <x:v>250</x:v>
      </x:c>
      <x:c r="F58" s="6" t="str">
        <x:v>깜밤이</x:v>
      </x:c>
    </x:row>
    <x:row r="59" ht="15" hidden="0" customHeight="1">
      <x:c r="A59" s="7" t="n">
        <x:v>1095</x:v>
      </x:c>
      <x:c r="B59" s="6" t="str">
        <x:v>NormalPack_TEST</x:v>
      </x:c>
      <x:c r="C59" s="6" t="str">
        <x:v>Silver</x:v>
      </x:c>
      <x:c r="D59" s="7" t="n">
        <x:v>10</x:v>
      </x:c>
      <x:c r="E59" s="7" t="n">
        <x:v>250</x:v>
      </x:c>
      <x:c r="F59" s="6" t="str">
        <x:v>꿈먹이</x:v>
      </x:c>
    </x:row>
    <x:row r="60" ht="15" hidden="0" customHeight="1">
      <x:c r="A60" s="7" t="n">
        <x:v>1096</x:v>
      </x:c>
      <x:c r="B60" s="6" t="str">
        <x:v>NormalPack_TEST</x:v>
      </x:c>
      <x:c r="C60" s="6" t="str">
        <x:v>Silver</x:v>
      </x:c>
      <x:c r="D60" s="7" t="n">
        <x:v>14</x:v>
      </x:c>
      <x:c r="E60" s="7" t="n">
        <x:v>250</x:v>
      </x:c>
      <x:c r="F60" s="6" t="str">
        <x:v>해롱문어</x:v>
      </x:c>
    </x:row>
    <x:row r="61" ht="15" hidden="0" customHeight="1">
      <x:c r="A61" s="7" t="n">
        <x:v>1097</x:v>
      </x:c>
      <x:c r="B61" s="6" t="str">
        <x:v>NormalPack_TEST</x:v>
      </x:c>
      <x:c r="C61" s="6" t="str">
        <x:v>Gold</x:v>
      </x:c>
      <x:c r="D61" s="7" t="n">
        <x:v>1</x:v>
      </x:c>
      <x:c r="E61" s="7" t="n">
        <x:v>664</x:v>
      </x:c>
      <x:c r="F61" s="6" t="str">
        <x:v>포슬램</x:v>
      </x:c>
    </x:row>
    <x:row r="62" ht="15" hidden="0" customHeight="1">
      <x:c r="A62" s="7" t="n">
        <x:v>1098</x:v>
      </x:c>
      <x:c r="B62" s="6" t="str">
        <x:v>NormalPack_TEST</x:v>
      </x:c>
      <x:c r="C62" s="6" t="str">
        <x:v>Gold</x:v>
      </x:c>
      <x:c r="D62" s="7" t="n">
        <x:v>2</x:v>
      </x:c>
      <x:c r="E62" s="7" t="n">
        <x:v>664</x:v>
      </x:c>
      <x:c r="F62" s="6" t="str">
        <x:v>파도리</x:v>
      </x:c>
    </x:row>
    <x:row r="63" ht="15" hidden="0" customHeight="1">
      <x:c r="A63" s="7" t="n">
        <x:v>1099</x:v>
      </x:c>
      <x:c r="B63" s="6" t="str">
        <x:v>NormalPack_TEST</x:v>
      </x:c>
      <x:c r="C63" s="6" t="str">
        <x:v>Gold</x:v>
      </x:c>
      <x:c r="D63" s="7" t="n">
        <x:v>3</x:v>
      </x:c>
      <x:c r="E63" s="7" t="n">
        <x:v>664</x:v>
      </x:c>
      <x:c r="F63" s="6" t="str">
        <x:v>별토리</x:v>
      </x:c>
    </x:row>
    <x:row r="64" ht="15" hidden="0" customHeight="1">
      <x:c r="A64" s="7" t="n">
        <x:v>1100</x:v>
      </x:c>
      <x:c r="B64" s="6" t="str">
        <x:v>NormalPack_TEST</x:v>
      </x:c>
      <x:c r="C64" s="6" t="str">
        <x:v>Gold</x:v>
      </x:c>
      <x:c r="D64" s="7" t="n">
        <x:v>4</x:v>
      </x:c>
      <x:c r="E64" s="7" t="n">
        <x:v>664</x:v>
      </x:c>
      <x:c r="F64" s="6" t="str">
        <x:v>솜구름몽</x:v>
      </x:c>
    </x:row>
    <x:row r="65" ht="15" hidden="0" customHeight="1">
      <x:c r="A65" s="7" t="n">
        <x:v>1101</x:v>
      </x:c>
      <x:c r="B65" s="6" t="str">
        <x:v>NormalPack_TEST</x:v>
      </x:c>
      <x:c r="C65" s="6" t="str">
        <x:v>Gold</x:v>
      </x:c>
      <x:c r="D65" s="7" t="n">
        <x:v>9</x:v>
      </x:c>
      <x:c r="E65" s="7" t="n">
        <x:v>663</x:v>
      </x:c>
      <x:c r="F65" s="6" t="str">
        <x:v>버섯냥</x:v>
      </x:c>
    </x:row>
    <x:row r="66" ht="15" hidden="0" customHeight="1">
      <x:c r="A66" s="7" t="n">
        <x:v>1102</x:v>
      </x:c>
      <x:c r="B66" s="6" t="str">
        <x:v>NormalPack_TEST</x:v>
      </x:c>
      <x:c r="C66" s="6" t="str">
        <x:v>Gold</x:v>
      </x:c>
      <x:c r="D66" s="7" t="n">
        <x:v>13</x:v>
      </x:c>
      <x:c r="E66" s="7" t="n">
        <x:v>166</x:v>
      </x:c>
      <x:c r="F66" s="6" t="str">
        <x:v>늪꾸리</x:v>
      </x:c>
    </x:row>
    <x:row r="67" ht="15" hidden="0" customHeight="1">
      <x:c r="A67" s="7" t="n">
        <x:v>1103</x:v>
      </x:c>
      <x:c r="B67" s="6" t="str">
        <x:v>NormalPack_TEST</x:v>
      </x:c>
      <x:c r="C67" s="6" t="str">
        <x:v>Gold</x:v>
      </x:c>
      <x:c r="D67" s="7" t="n">
        <x:v>15</x:v>
      </x:c>
      <x:c r="E67" s="7" t="n">
        <x:v>663</x:v>
      </x:c>
      <x:c r="F67" s="6" t="str">
        <x:v>물방울룽</x:v>
      </x:c>
    </x:row>
    <x:row r="68" ht="15" hidden="0" customHeight="1">
      <x:c r="A68" s="7" t="n">
        <x:v>1104</x:v>
      </x:c>
      <x:c r="B68" s="6" t="str">
        <x:v>NormalPack_TEST</x:v>
      </x:c>
      <x:c r="C68" s="6" t="str">
        <x:v>Gold</x:v>
      </x:c>
      <x:c r="D68" s="7" t="n">
        <x:v>16</x:v>
      </x:c>
      <x:c r="E68" s="7" t="n">
        <x:v>663</x:v>
      </x:c>
      <x:c r="F68" s="6" t="str">
        <x:v>풍선펭</x:v>
      </x:c>
    </x:row>
    <x:row r="69" ht="15" hidden="0" customHeight="1">
      <x:c r="A69" s="7" t="n">
        <x:v>1105</x:v>
      </x:c>
      <x:c r="B69" s="6" t="str">
        <x:v>NormalPack_TEST</x:v>
      </x:c>
      <x:c r="C69" s="6" t="str">
        <x:v>Gold</x:v>
      </x:c>
      <x:c r="D69" s="7" t="n">
        <x:v>17</x:v>
      </x:c>
      <x:c r="E69" s="7" t="n">
        <x:v>663</x:v>
      </x:c>
      <x:c r="F69" s="6" t="str">
        <x:v>와글도도</x:v>
      </x:c>
    </x:row>
    <x:row r="70" ht="15" hidden="0" customHeight="1">
      <x:c r="A70" s="7" t="n">
        <x:v>1106</x:v>
      </x:c>
      <x:c r="B70" s="6" t="str">
        <x:v>NormalPack_TEST</x:v>
      </x:c>
      <x:c r="C70" s="6" t="str">
        <x:v>Gold</x:v>
      </x:c>
      <x:c r="D70" s="7" t="n">
        <x:v>18</x:v>
      </x:c>
      <x:c r="E70" s="7" t="n">
        <x:v>663</x:v>
      </x:c>
      <x:c r="F70" s="6" t="str">
        <x:v>모래몽</x:v>
      </x:c>
    </x:row>
    <x:row r="71" ht="15" hidden="0" customHeight="1">
      <x:c r="A71" s="7" t="n">
        <x:v>1107</x:v>
      </x:c>
      <x:c r="B71" s="6" t="str">
        <x:v>NormalPack_TEST</x:v>
      </x:c>
      <x:c r="C71" s="6" t="str">
        <x:v>Gold</x:v>
      </x:c>
      <x:c r="D71" s="7" t="n">
        <x:v>19</x:v>
      </x:c>
      <x:c r="E71" s="7" t="n">
        <x:v>663</x:v>
      </x:c>
      <x:c r="F71" s="6" t="str">
        <x:v>얼음꼬미</x:v>
      </x:c>
    </x:row>
    <x:row r="72" ht="15" hidden="0" customHeight="1">
      <x:c r="A72" s="7" t="n">
        <x:v>1108</x:v>
      </x:c>
      <x:c r="B72" s="6" t="str">
        <x:v>NormalPack_TEST</x:v>
      </x:c>
      <x:c r="C72" s="6" t="str">
        <x:v>Gold</x:v>
      </x:c>
      <x:c r="D72" s="7" t="n">
        <x:v>29</x:v>
      </x:c>
      <x:c r="E72" s="7" t="n">
        <x:v>166</x:v>
      </x:c>
      <x:c r="F72" s="6" t="str">
        <x:v>수정뿔루</x:v>
      </x:c>
    </x:row>
    <x:row r="73" ht="15" hidden="0" customHeight="1">
      <x:c r="A73" s="7" t="n">
        <x:v>1109</x:v>
      </x:c>
      <x:c r="B73" s="6" t="str">
        <x:v>NormalPack_TEST</x:v>
      </x:c>
      <x:c r="C73" s="6" t="str">
        <x:v>Gold</x:v>
      </x:c>
      <x:c r="D73" s="7" t="n">
        <x:v>30</x:v>
      </x:c>
      <x:c r="E73" s="7" t="n">
        <x:v>166</x:v>
      </x:c>
      <x:c r="F73" s="6" t="str">
        <x:v>폭탄밤</x:v>
      </x:c>
    </x:row>
    <x:row r="74" ht="15" hidden="0" customHeight="1">
      <x:c r="A74" s="7" t="n">
        <x:v>1110</x:v>
      </x:c>
      <x:c r="B74" s="6" t="str">
        <x:v>NormalPack_TEST</x:v>
      </x:c>
      <x:c r="C74" s="6" t="str">
        <x:v>Gold</x:v>
      </x:c>
      <x:c r="D74" s="7" t="n">
        <x:v>5</x:v>
      </x:c>
      <x:c r="E74" s="7" t="n">
        <x:v>166</x:v>
      </x:c>
      <x:c r="F74" s="6" t="str">
        <x:v>철갑몽치</x:v>
      </x:c>
    </x:row>
    <x:row r="75" ht="15" hidden="0" customHeight="1">
      <x:c r="A75" s="7" t="n">
        <x:v>1111</x:v>
      </x:c>
      <x:c r="B75" s="6" t="str">
        <x:v>NormalPack_TEST</x:v>
      </x:c>
      <x:c r="C75" s="6" t="str">
        <x:v>Gold</x:v>
      </x:c>
      <x:c r="D75" s="7" t="n">
        <x:v>6</x:v>
      </x:c>
      <x:c r="E75" s="7" t="n">
        <x:v>166</x:v>
      </x:c>
      <x:c r="F75" s="6" t="str">
        <x:v>바위콩</x:v>
      </x:c>
    </x:row>
    <x:row r="76" ht="15" hidden="0" customHeight="1">
      <x:c r="A76" s="7" t="n">
        <x:v>1112</x:v>
      </x:c>
      <x:c r="B76" s="6" t="str">
        <x:v>NormalPack_TEST</x:v>
      </x:c>
      <x:c r="C76" s="6" t="str">
        <x:v>Gold</x:v>
      </x:c>
      <x:c r="D76" s="7" t="n">
        <x:v>8</x:v>
      </x:c>
      <x:c r="E76" s="7" t="n">
        <x:v>166</x:v>
      </x:c>
      <x:c r="F76" s="6" t="str">
        <x:v>깜밤이</x:v>
      </x:c>
    </x:row>
    <x:row r="77" ht="15" hidden="0" customHeight="1">
      <x:c r="A77" s="7" t="n">
        <x:v>1113</x:v>
      </x:c>
      <x:c r="B77" s="6" t="str">
        <x:v>NormalPack_TEST</x:v>
      </x:c>
      <x:c r="C77" s="6" t="str">
        <x:v>Gold</x:v>
      </x:c>
      <x:c r="D77" s="7" t="n">
        <x:v>10</x:v>
      </x:c>
      <x:c r="E77" s="7" t="n">
        <x:v>166</x:v>
      </x:c>
      <x:c r="F77" s="6" t="str">
        <x:v>꿈먹이</x:v>
      </x:c>
    </x:row>
    <x:row r="78" ht="15" hidden="0" customHeight="1">
      <x:c r="A78" s="7" t="n">
        <x:v>1114</x:v>
      </x:c>
      <x:c r="B78" s="6" t="str">
        <x:v>NormalPack_TEST</x:v>
      </x:c>
      <x:c r="C78" s="6" t="str">
        <x:v>Gold</x:v>
      </x:c>
      <x:c r="D78" s="7" t="n">
        <x:v>11</x:v>
      </x:c>
      <x:c r="E78" s="7" t="n">
        <x:v>166</x:v>
      </x:c>
      <x:c r="F78" s="6" t="str">
        <x:v>우드혼</x:v>
      </x:c>
    </x:row>
    <x:row r="79" ht="15" hidden="0" customHeight="1">
      <x:c r="A79" s="7" t="n">
        <x:v>1115</x:v>
      </x:c>
      <x:c r="B79" s="6" t="str">
        <x:v>NormalPack_TEST</x:v>
      </x:c>
      <x:c r="C79" s="6" t="str">
        <x:v>Gold</x:v>
      </x:c>
      <x:c r="D79" s="7" t="n">
        <x:v>12</x:v>
      </x:c>
      <x:c r="E79" s="7" t="n">
        <x:v>9</x:v>
      </x:c>
      <x:c r="F79" s="6" t="str">
        <x:v>대장부리</x:v>
      </x:c>
    </x:row>
    <x:row r="80" ht="15" hidden="0" customHeight="1">
      <x:c r="A80" s="7" t="n">
        <x:v>1116</x:v>
      </x:c>
      <x:c r="B80" s="6" t="str">
        <x:v>NormalPack_TEST</x:v>
      </x:c>
      <x:c r="C80" s="6" t="str">
        <x:v>Gold</x:v>
      </x:c>
      <x:c r="D80" s="7" t="n">
        <x:v>14</x:v>
      </x:c>
      <x:c r="E80" s="7" t="n">
        <x:v>166</x:v>
      </x:c>
      <x:c r="F80" s="6" t="str">
        <x:v>해롱문어</x:v>
      </x:c>
    </x:row>
    <x:row r="81" ht="15" hidden="0" customHeight="1">
      <x:c r="A81" s="7" t="n">
        <x:v>1117</x:v>
      </x:c>
      <x:c r="B81" s="6" t="str">
        <x:v>NormalPack_TEST</x:v>
      </x:c>
      <x:c r="C81" s="6" t="str">
        <x:v>Gold</x:v>
      </x:c>
      <x:c r="D81" s="7" t="n">
        <x:v>22</x:v>
      </x:c>
      <x:c r="E81" s="7" t="n">
        <x:v>166</x:v>
      </x:c>
      <x:c r="F81" s="6" t="str">
        <x:v>톱니두더</x:v>
      </x:c>
    </x:row>
    <x:row r="82" ht="15" hidden="0" customHeight="1">
      <x:c r="A82" s="7" t="n">
        <x:v>1118</x:v>
      </x:c>
      <x:c r="B82" s="6" t="str">
        <x:v>NormalPack_TEST</x:v>
      </x:c>
      <x:c r="C82" s="6" t="str">
        <x:v>Gold</x:v>
      </x:c>
      <x:c r="D82" s="7" t="n">
        <x:v>25</x:v>
      </x:c>
      <x:c r="E82" s="7" t="n">
        <x:v>165</x:v>
      </x:c>
      <x:c r="F82" s="6" t="str">
        <x:v>찌릿핀</x:v>
      </x:c>
    </x:row>
    <x:row r="83" ht="15" hidden="0" customHeight="1">
      <x:c r="A83" s="7" t="n">
        <x:v>1119</x:v>
      </x:c>
      <x:c r="B83" s="6" t="str">
        <x:v>NormalPack_TEST</x:v>
      </x:c>
      <x:c r="C83" s="6" t="str">
        <x:v>Platinum</x:v>
      </x:c>
      <x:c r="D83" s="7" t="n">
        <x:v>1</x:v>
      </x:c>
      <x:c r="E83" s="7" t="n">
        <x:v>664</x:v>
      </x:c>
      <x:c r="F83" s="6" t="str">
        <x:v>포슬램</x:v>
      </x:c>
    </x:row>
    <x:row r="84" ht="15" hidden="0" customHeight="1">
      <x:c r="A84" s="7" t="n">
        <x:v>1120</x:v>
      </x:c>
      <x:c r="B84" s="6" t="str">
        <x:v>NormalPack_TEST</x:v>
      </x:c>
      <x:c r="C84" s="6" t="str">
        <x:v>Platinum</x:v>
      </x:c>
      <x:c r="D84" s="7" t="n">
        <x:v>2</x:v>
      </x:c>
      <x:c r="E84" s="7" t="n">
        <x:v>664</x:v>
      </x:c>
      <x:c r="F84" s="6" t="str">
        <x:v>파도리</x:v>
      </x:c>
    </x:row>
    <x:row r="85" ht="15" hidden="0" customHeight="1">
      <x:c r="A85" s="7" t="n">
        <x:v>1121</x:v>
      </x:c>
      <x:c r="B85" s="6" t="str">
        <x:v>NormalPack_TEST</x:v>
      </x:c>
      <x:c r="C85" s="6" t="str">
        <x:v>Platinum</x:v>
      </x:c>
      <x:c r="D85" s="7" t="n">
        <x:v>3</x:v>
      </x:c>
      <x:c r="E85" s="7" t="n">
        <x:v>664</x:v>
      </x:c>
      <x:c r="F85" s="6" t="str">
        <x:v>별토리</x:v>
      </x:c>
    </x:row>
    <x:row r="86" ht="15" hidden="0" customHeight="1">
      <x:c r="A86" s="7" t="n">
        <x:v>1122</x:v>
      </x:c>
      <x:c r="B86" s="6" t="str">
        <x:v>NormalPack_TEST</x:v>
      </x:c>
      <x:c r="C86" s="6" t="str">
        <x:v>Platinum</x:v>
      </x:c>
      <x:c r="D86" s="7" t="n">
        <x:v>4</x:v>
      </x:c>
      <x:c r="E86" s="7" t="n">
        <x:v>664</x:v>
      </x:c>
      <x:c r="F86" s="6" t="str">
        <x:v>솜구름몽</x:v>
      </x:c>
    </x:row>
    <x:row r="87" ht="15" hidden="0" customHeight="1">
      <x:c r="A87" s="7" t="n">
        <x:v>1123</x:v>
      </x:c>
      <x:c r="B87" s="6" t="str">
        <x:v>NormalPack_TEST</x:v>
      </x:c>
      <x:c r="C87" s="6" t="str">
        <x:v>Platinum</x:v>
      </x:c>
      <x:c r="D87" s="7" t="n">
        <x:v>9</x:v>
      </x:c>
      <x:c r="E87" s="7" t="n">
        <x:v>663</x:v>
      </x:c>
      <x:c r="F87" s="6" t="str">
        <x:v>버섯냥</x:v>
      </x:c>
    </x:row>
    <x:row r="88" ht="15" hidden="0" customHeight="1">
      <x:c r="A88" s="7" t="n">
        <x:v>1124</x:v>
      </x:c>
      <x:c r="B88" s="6" t="str">
        <x:v>NormalPack_TEST</x:v>
      </x:c>
      <x:c r="C88" s="6" t="str">
        <x:v>Platinum</x:v>
      </x:c>
      <x:c r="D88" s="7" t="n">
        <x:v>13</x:v>
      </x:c>
      <x:c r="E88" s="7" t="n">
        <x:v>125</x:v>
      </x:c>
      <x:c r="F88" s="6" t="str">
        <x:v>늪꾸리</x:v>
      </x:c>
    </x:row>
    <x:row r="89" ht="15" hidden="0" customHeight="1">
      <x:c r="A89" s="7" t="n">
        <x:v>1125</x:v>
      </x:c>
      <x:c r="B89" s="6" t="str">
        <x:v>NormalPack_TEST</x:v>
      </x:c>
      <x:c r="C89" s="6" t="str">
        <x:v>Platinum</x:v>
      </x:c>
      <x:c r="D89" s="7" t="n">
        <x:v>15</x:v>
      </x:c>
      <x:c r="E89" s="7" t="n">
        <x:v>663</x:v>
      </x:c>
      <x:c r="F89" s="6" t="str">
        <x:v>물방울룽</x:v>
      </x:c>
    </x:row>
    <x:row r="90" ht="15" hidden="0" customHeight="1">
      <x:c r="A90" s="7" t="n">
        <x:v>1126</x:v>
      </x:c>
      <x:c r="B90" s="6" t="str">
        <x:v>NormalPack_TEST</x:v>
      </x:c>
      <x:c r="C90" s="6" t="str">
        <x:v>Platinum</x:v>
      </x:c>
      <x:c r="D90" s="7" t="n">
        <x:v>16</x:v>
      </x:c>
      <x:c r="E90" s="7" t="n">
        <x:v>663</x:v>
      </x:c>
      <x:c r="F90" s="6" t="str">
        <x:v>풍선펭</x:v>
      </x:c>
    </x:row>
    <x:row r="91" ht="15" hidden="0" customHeight="1">
      <x:c r="A91" s="7" t="n">
        <x:v>1127</x:v>
      </x:c>
      <x:c r="B91" s="6" t="str">
        <x:v>NormalPack_TEST</x:v>
      </x:c>
      <x:c r="C91" s="6" t="str">
        <x:v>Platinum</x:v>
      </x:c>
      <x:c r="D91" s="7" t="n">
        <x:v>17</x:v>
      </x:c>
      <x:c r="E91" s="7" t="n">
        <x:v>663</x:v>
      </x:c>
      <x:c r="F91" s="6" t="str">
        <x:v>와글도도</x:v>
      </x:c>
    </x:row>
    <x:row r="92" ht="15" hidden="0" customHeight="1">
      <x:c r="A92" s="7" t="n">
        <x:v>1128</x:v>
      </x:c>
      <x:c r="B92" s="6" t="str">
        <x:v>NormalPack_TEST</x:v>
      </x:c>
      <x:c r="C92" s="6" t="str">
        <x:v>Platinum</x:v>
      </x:c>
      <x:c r="D92" s="7" t="n">
        <x:v>18</x:v>
      </x:c>
      <x:c r="E92" s="7" t="n">
        <x:v>663</x:v>
      </x:c>
      <x:c r="F92" s="6" t="str">
        <x:v>모래몽</x:v>
      </x:c>
    </x:row>
    <x:row r="93" ht="15" hidden="0" customHeight="1">
      <x:c r="A93" s="7" t="n">
        <x:v>1129</x:v>
      </x:c>
      <x:c r="B93" s="6" t="str">
        <x:v>NormalPack_TEST</x:v>
      </x:c>
      <x:c r="C93" s="6" t="str">
        <x:v>Platinum</x:v>
      </x:c>
      <x:c r="D93" s="7" t="n">
        <x:v>19</x:v>
      </x:c>
      <x:c r="E93" s="7" t="n">
        <x:v>663</x:v>
      </x:c>
      <x:c r="F93" s="6" t="str">
        <x:v>얼음꼬미</x:v>
      </x:c>
    </x:row>
    <x:row r="94" ht="15" hidden="0" customHeight="1">
      <x:c r="A94" s="7" t="n">
        <x:v>1130</x:v>
      </x:c>
      <x:c r="B94" s="6" t="str">
        <x:v>NormalPack_TEST</x:v>
      </x:c>
      <x:c r="C94" s="6" t="str">
        <x:v>Platinum</x:v>
      </x:c>
      <x:c r="D94" s="7" t="n">
        <x:v>20</x:v>
      </x:c>
      <x:c r="E94" s="7" t="n">
        <x:v>663</x:v>
      </x:c>
      <x:c r="F94" s="6" t="str">
        <x:v>꿀꿀비</x:v>
      </x:c>
    </x:row>
    <x:row r="95" ht="15" hidden="0" customHeight="1">
      <x:c r="A95" s="7" t="n">
        <x:v>1131</x:v>
      </x:c>
      <x:c r="B95" s="6" t="str">
        <x:v>NormalPack_TEST</x:v>
      </x:c>
      <x:c r="C95" s="6" t="str">
        <x:v>Platinum</x:v>
      </x:c>
      <x:c r="D95" s="7" t="n">
        <x:v>29</x:v>
      </x:c>
      <x:c r="E95" s="7" t="n">
        <x:v>125</x:v>
      </x:c>
      <x:c r="F95" s="6" t="str">
        <x:v>수정뿔루</x:v>
      </x:c>
    </x:row>
    <x:row r="96" ht="15" hidden="0" customHeight="1">
      <x:c r="A96" s="7" t="n">
        <x:v>1132</x:v>
      </x:c>
      <x:c r="B96" s="6" t="str">
        <x:v>NormalPack_TEST</x:v>
      </x:c>
      <x:c r="C96" s="6" t="str">
        <x:v>Platinum</x:v>
      </x:c>
      <x:c r="D96" s="7" t="n">
        <x:v>30</x:v>
      </x:c>
      <x:c r="E96" s="7" t="n">
        <x:v>125</x:v>
      </x:c>
      <x:c r="F96" s="6" t="str">
        <x:v>폭탄밤</x:v>
      </x:c>
    </x:row>
    <x:row r="97" ht="15" hidden="0" customHeight="1">
      <x:c r="A97" s="7" t="n">
        <x:v>1133</x:v>
      </x:c>
      <x:c r="B97" s="6" t="str">
        <x:v>NormalPack_TEST</x:v>
      </x:c>
      <x:c r="C97" s="6" t="str">
        <x:v>Platinum</x:v>
      </x:c>
      <x:c r="D97" s="7" t="n">
        <x:v>32</x:v>
      </x:c>
      <x:c r="E97" s="7" t="n">
        <x:v>8</x:v>
      </x:c>
      <x:c r="F97" s="6" t="str">
        <x:v>별꼬리</x:v>
      </x:c>
    </x:row>
    <x:row r="98" ht="15" hidden="0" customHeight="1">
      <x:c r="A98" s="7" t="n">
        <x:v>1134</x:v>
      </x:c>
      <x:c r="B98" s="6" t="str">
        <x:v>NormalPack_TEST</x:v>
      </x:c>
      <x:c r="C98" s="6" t="str">
        <x:v>Platinum</x:v>
      </x:c>
      <x:c r="D98" s="7" t="n">
        <x:v>33</x:v>
      </x:c>
      <x:c r="E98" s="7" t="n">
        <x:v>125</x:v>
      </x:c>
      <x:c r="F98" s="6" t="str">
        <x:v>루미엘크</x:v>
      </x:c>
    </x:row>
    <x:row r="99" ht="15" hidden="0" customHeight="1">
      <x:c r="A99" s="7" t="n">
        <x:v>1135</x:v>
      </x:c>
      <x:c r="B99" s="6" t="str">
        <x:v>NormalPack_TEST</x:v>
      </x:c>
      <x:c r="C99" s="6" t="str">
        <x:v>Platinum</x:v>
      </x:c>
      <x:c r="D99" s="7" t="n">
        <x:v>5</x:v>
      </x:c>
      <x:c r="E99" s="7" t="n">
        <x:v>125</x:v>
      </x:c>
      <x:c r="F99" s="6" t="str">
        <x:v>철갑몽치</x:v>
      </x:c>
    </x:row>
    <x:row r="100" ht="15" hidden="0" customHeight="1">
      <x:c r="A100" s="7" t="n">
        <x:v>1136</x:v>
      </x:c>
      <x:c r="B100" s="6" t="str">
        <x:v>NormalPack_TEST</x:v>
      </x:c>
      <x:c r="C100" s="6" t="str">
        <x:v>Platinum</x:v>
      </x:c>
      <x:c r="D100" s="7" t="n">
        <x:v>6</x:v>
      </x:c>
      <x:c r="E100" s="7" t="n">
        <x:v>125</x:v>
      </x:c>
      <x:c r="F100" s="6" t="str">
        <x:v>바위콩</x:v>
      </x:c>
    </x:row>
    <x:row r="101" ht="15" hidden="0" customHeight="1">
      <x:c r="A101" s="7" t="n">
        <x:v>1137</x:v>
      </x:c>
      <x:c r="B101" s="6" t="str">
        <x:v>NormalPack_TEST</x:v>
      </x:c>
      <x:c r="C101" s="6" t="str">
        <x:v>Platinum</x:v>
      </x:c>
      <x:c r="D101" s="7" t="n">
        <x:v>8</x:v>
      </x:c>
      <x:c r="E101" s="7" t="n">
        <x:v>124</x:v>
      </x:c>
      <x:c r="F101" s="6" t="str">
        <x:v>깜밤이</x:v>
      </x:c>
    </x:row>
    <x:row r="102" ht="15" hidden="0" customHeight="1">
      <x:c r="A102" s="7" t="n">
        <x:v>1138</x:v>
      </x:c>
      <x:c r="B102" s="6" t="str">
        <x:v>NormalPack_TEST</x:v>
      </x:c>
      <x:c r="C102" s="6" t="str">
        <x:v>Platinum</x:v>
      </x:c>
      <x:c r="D102" s="7" t="n">
        <x:v>10</x:v>
      </x:c>
      <x:c r="E102" s="7" t="n">
        <x:v>124</x:v>
      </x:c>
      <x:c r="F102" s="6" t="str">
        <x:v>꿈먹이</x:v>
      </x:c>
    </x:row>
    <x:row r="103" ht="15" hidden="0" customHeight="1">
      <x:c r="A103" s="7" t="n">
        <x:v>1139</x:v>
      </x:c>
      <x:c r="B103" s="6" t="str">
        <x:v>NormalPack_TEST</x:v>
      </x:c>
      <x:c r="C103" s="6" t="str">
        <x:v>Platinum</x:v>
      </x:c>
      <x:c r="D103" s="7" t="n">
        <x:v>11</x:v>
      </x:c>
      <x:c r="E103" s="7" t="n">
        <x:v>124</x:v>
      </x:c>
      <x:c r="F103" s="6" t="str">
        <x:v>우드혼</x:v>
      </x:c>
    </x:row>
    <x:row r="104" ht="15" hidden="0" customHeight="1">
      <x:c r="A104" s="7" t="n">
        <x:v>1140</x:v>
      </x:c>
      <x:c r="B104" s="6" t="str">
        <x:v>NormalPack_TEST</x:v>
      </x:c>
      <x:c r="C104" s="6" t="str">
        <x:v>Platinum</x:v>
      </x:c>
      <x:c r="D104" s="7" t="n">
        <x:v>12</x:v>
      </x:c>
      <x:c r="E104" s="7" t="n">
        <x:v>9</x:v>
      </x:c>
      <x:c r="F104" s="6" t="str">
        <x:v>대장부리</x:v>
      </x:c>
    </x:row>
    <x:row r="105" ht="15" hidden="0" customHeight="1">
      <x:c r="A105" s="7" t="n">
        <x:v>1141</x:v>
      </x:c>
      <x:c r="B105" s="6" t="str">
        <x:v>NormalPack_TEST</x:v>
      </x:c>
      <x:c r="C105" s="6" t="str">
        <x:v>Platinum</x:v>
      </x:c>
      <x:c r="D105" s="7" t="n">
        <x:v>14</x:v>
      </x:c>
      <x:c r="E105" s="7" t="n">
        <x:v>124</x:v>
      </x:c>
      <x:c r="F105" s="6" t="str">
        <x:v>해롱문어</x:v>
      </x:c>
    </x:row>
    <x:row r="106" ht="15" hidden="0" customHeight="1">
      <x:c r="A106" s="7" t="n">
        <x:v>1142</x:v>
      </x:c>
      <x:c r="B106" s="6" t="str">
        <x:v>NormalPack_TEST</x:v>
      </x:c>
      <x:c r="C106" s="6" t="str">
        <x:v>Platinum</x:v>
      </x:c>
      <x:c r="D106" s="7" t="n">
        <x:v>22</x:v>
      </x:c>
      <x:c r="E106" s="7" t="n">
        <x:v>124</x:v>
      </x:c>
      <x:c r="F106" s="6" t="str">
        <x:v>톱니두더</x:v>
      </x:c>
    </x:row>
    <x:row r="107" ht="15" hidden="0" customHeight="1">
      <x:c r="A107" s="7" t="n">
        <x:v>1143</x:v>
      </x:c>
      <x:c r="B107" s="6" t="str">
        <x:v>NormalPack_TEST</x:v>
      </x:c>
      <x:c r="C107" s="6" t="str">
        <x:v>Platinum</x:v>
      </x:c>
      <x:c r="D107" s="7" t="n">
        <x:v>25</x:v>
      </x:c>
      <x:c r="E107" s="7" t="n">
        <x:v>124</x:v>
      </x:c>
      <x:c r="F107" s="6" t="str">
        <x:v>찌릿핀</x:v>
      </x:c>
    </x:row>
    <x:row r="108" ht="15" hidden="0" customHeight="1">
      <x:c r="A108" s="7" t="n">
        <x:v>1144</x:v>
      </x:c>
      <x:c r="B108" s="6" t="str">
        <x:v>NormalPack_TEST</x:v>
      </x:c>
      <x:c r="C108" s="6" t="str">
        <x:v>Platinum</x:v>
      </x:c>
      <x:c r="D108" s="7" t="n">
        <x:v>28</x:v>
      </x:c>
      <x:c r="E108" s="7" t="n">
        <x:v>124</x:v>
      </x:c>
      <x:c r="F108" s="6" t="str">
        <x:v>단풍꼬리</x:v>
      </x:c>
    </x:row>
    <x:row r="109" ht="15" hidden="0" customHeight="1">
      <x:c r="A109" s="7" t="n">
        <x:v>1145</x:v>
      </x:c>
      <x:c r="B109" s="6" t="str">
        <x:v>NormalPack_TEST</x:v>
      </x:c>
      <x:c r="C109" s="6" t="str">
        <x:v>Platinum</x:v>
      </x:c>
      <x:c r="D109" s="7" t="n">
        <x:v>31</x:v>
      </x:c>
      <x:c r="E109" s="7" t="n">
        <x:v>8</x:v>
      </x:c>
      <x:c r="F109" s="6" t="str">
        <x:v>수정코뿔소</x:v>
      </x:c>
    </x:row>
    <x:row r="110" ht="15" hidden="0" customHeight="1">
      <x:c r="A110" s="7" t="n">
        <x:v>1146</x:v>
      </x:c>
      <x:c r="B110" s="6" t="str">
        <x:v>NormalPack_TEST</x:v>
      </x:c>
      <x:c r="C110" s="6" t="str">
        <x:v>Diamond</x:v>
      </x:c>
      <x:c r="D110" s="7" t="n">
        <x:v>1</x:v>
      </x:c>
      <x:c r="E110" s="7" t="n">
        <x:v>664</x:v>
      </x:c>
      <x:c r="F110" s="6" t="str">
        <x:v>포슬램</x:v>
      </x:c>
    </x:row>
    <x:row r="111" ht="15" hidden="0" customHeight="1">
      <x:c r="A111" s="7" t="n">
        <x:v>1147</x:v>
      </x:c>
      <x:c r="B111" s="6" t="str">
        <x:v>NormalPack_TEST</x:v>
      </x:c>
      <x:c r="C111" s="6" t="str">
        <x:v>Diamond</x:v>
      </x:c>
      <x:c r="D111" s="7" t="n">
        <x:v>2</x:v>
      </x:c>
      <x:c r="E111" s="7" t="n">
        <x:v>664</x:v>
      </x:c>
      <x:c r="F111" s="6" t="str">
        <x:v>파도리</x:v>
      </x:c>
    </x:row>
    <x:row r="112" ht="15" hidden="0" customHeight="1">
      <x:c r="A112" s="7" t="n">
        <x:v>1148</x:v>
      </x:c>
      <x:c r="B112" s="6" t="str">
        <x:v>NormalPack_TEST</x:v>
      </x:c>
      <x:c r="C112" s="6" t="str">
        <x:v>Diamond</x:v>
      </x:c>
      <x:c r="D112" s="7" t="n">
        <x:v>3</x:v>
      </x:c>
      <x:c r="E112" s="7" t="n">
        <x:v>664</x:v>
      </x:c>
      <x:c r="F112" s="6" t="str">
        <x:v>별토리</x:v>
      </x:c>
    </x:row>
    <x:row r="113" ht="15" hidden="0" customHeight="1">
      <x:c r="A113" s="7" t="n">
        <x:v>1149</x:v>
      </x:c>
      <x:c r="B113" s="6" t="str">
        <x:v>NormalPack_TEST</x:v>
      </x:c>
      <x:c r="C113" s="6" t="str">
        <x:v>Diamond</x:v>
      </x:c>
      <x:c r="D113" s="7" t="n">
        <x:v>4</x:v>
      </x:c>
      <x:c r="E113" s="7" t="n">
        <x:v>664</x:v>
      </x:c>
      <x:c r="F113" s="6" t="str">
        <x:v>솜구름몽</x:v>
      </x:c>
    </x:row>
    <x:row r="114" ht="15" hidden="0" customHeight="1">
      <x:c r="A114" s="7" t="n">
        <x:v>1150</x:v>
      </x:c>
      <x:c r="B114" s="6" t="str">
        <x:v>NormalPack_TEST</x:v>
      </x:c>
      <x:c r="C114" s="6" t="str">
        <x:v>Diamond</x:v>
      </x:c>
      <x:c r="D114" s="7" t="n">
        <x:v>9</x:v>
      </x:c>
      <x:c r="E114" s="7" t="n">
        <x:v>663</x:v>
      </x:c>
      <x:c r="F114" s="6" t="str">
        <x:v>버섯냥</x:v>
      </x:c>
    </x:row>
    <x:row r="115" ht="15" hidden="0" customHeight="1">
      <x:c r="A115" s="7" t="n">
        <x:v>1151</x:v>
      </x:c>
      <x:c r="B115" s="6" t="str">
        <x:v>NormalPack_TEST</x:v>
      </x:c>
      <x:c r="C115" s="6" t="str">
        <x:v>Diamond</x:v>
      </x:c>
      <x:c r="D115" s="7" t="n">
        <x:v>13</x:v>
      </x:c>
      <x:c r="E115" s="7" t="n">
        <x:v>100</x:v>
      </x:c>
      <x:c r="F115" s="6" t="str">
        <x:v>늪꾸리</x:v>
      </x:c>
    </x:row>
    <x:row r="116" ht="15" hidden="0" customHeight="1">
      <x:c r="A116" s="7" t="n">
        <x:v>1152</x:v>
      </x:c>
      <x:c r="B116" s="6" t="str">
        <x:v>NormalPack_TEST</x:v>
      </x:c>
      <x:c r="C116" s="6" t="str">
        <x:v>Diamond</x:v>
      </x:c>
      <x:c r="D116" s="7" t="n">
        <x:v>15</x:v>
      </x:c>
      <x:c r="E116" s="7" t="n">
        <x:v>663</x:v>
      </x:c>
      <x:c r="F116" s="6" t="str">
        <x:v>물방울룽</x:v>
      </x:c>
    </x:row>
    <x:row r="117" ht="15" hidden="0" customHeight="1">
      <x:c r="A117" s="7" t="n">
        <x:v>1153</x:v>
      </x:c>
      <x:c r="B117" s="6" t="str">
        <x:v>NormalPack_TEST</x:v>
      </x:c>
      <x:c r="C117" s="6" t="str">
        <x:v>Diamond</x:v>
      </x:c>
      <x:c r="D117" s="7" t="n">
        <x:v>16</x:v>
      </x:c>
      <x:c r="E117" s="7" t="n">
        <x:v>663</x:v>
      </x:c>
      <x:c r="F117" s="6" t="str">
        <x:v>풍선펭</x:v>
      </x:c>
    </x:row>
    <x:row r="118" ht="15" hidden="0" customHeight="1">
      <x:c r="A118" s="7" t="n">
        <x:v>1154</x:v>
      </x:c>
      <x:c r="B118" s="6" t="str">
        <x:v>NormalPack_TEST</x:v>
      </x:c>
      <x:c r="C118" s="6" t="str">
        <x:v>Diamond</x:v>
      </x:c>
      <x:c r="D118" s="7" t="n">
        <x:v>17</x:v>
      </x:c>
      <x:c r="E118" s="7" t="n">
        <x:v>663</x:v>
      </x:c>
      <x:c r="F118" s="6" t="str">
        <x:v>와글도도</x:v>
      </x:c>
    </x:row>
    <x:row r="119" ht="15" hidden="0" customHeight="1">
      <x:c r="A119" s="7" t="n">
        <x:v>1155</x:v>
      </x:c>
      <x:c r="B119" s="6" t="str">
        <x:v>NormalPack_TEST</x:v>
      </x:c>
      <x:c r="C119" s="6" t="str">
        <x:v>Diamond</x:v>
      </x:c>
      <x:c r="D119" s="7" t="n">
        <x:v>18</x:v>
      </x:c>
      <x:c r="E119" s="7" t="n">
        <x:v>663</x:v>
      </x:c>
      <x:c r="F119" s="6" t="str">
        <x:v>모래몽</x:v>
      </x:c>
    </x:row>
    <x:row r="120" ht="15" hidden="0" customHeight="1">
      <x:c r="A120" s="7" t="n">
        <x:v>1156</x:v>
      </x:c>
      <x:c r="B120" s="6" t="str">
        <x:v>NormalPack_TEST</x:v>
      </x:c>
      <x:c r="C120" s="6" t="str">
        <x:v>Diamond</x:v>
      </x:c>
      <x:c r="D120" s="7" t="n">
        <x:v>19</x:v>
      </x:c>
      <x:c r="E120" s="7" t="n">
        <x:v>663</x:v>
      </x:c>
      <x:c r="F120" s="6" t="str">
        <x:v>얼음꼬미</x:v>
      </x:c>
    </x:row>
    <x:row r="121" ht="15" hidden="0" customHeight="1">
      <x:c r="A121" s="7" t="n">
        <x:v>1157</x:v>
      </x:c>
      <x:c r="B121" s="6" t="str">
        <x:v>NormalPack_TEST</x:v>
      </x:c>
      <x:c r="C121" s="6" t="str">
        <x:v>Diamond</x:v>
      </x:c>
      <x:c r="D121" s="7" t="n">
        <x:v>20</x:v>
      </x:c>
      <x:c r="E121" s="7" t="n">
        <x:v>663</x:v>
      </x:c>
      <x:c r="F121" s="6" t="str">
        <x:v>꿀꿀비</x:v>
      </x:c>
    </x:row>
    <x:row r="122" ht="15" hidden="0" customHeight="1">
      <x:c r="A122" s="7" t="n">
        <x:v>1158</x:v>
      </x:c>
      <x:c r="B122" s="6" t="str">
        <x:v>NormalPack_TEST</x:v>
      </x:c>
      <x:c r="C122" s="6" t="str">
        <x:v>Diamond</x:v>
      </x:c>
      <x:c r="D122" s="7" t="n">
        <x:v>29</x:v>
      </x:c>
      <x:c r="E122" s="7" t="n">
        <x:v>100</x:v>
      </x:c>
      <x:c r="F122" s="6" t="str">
        <x:v>수정뿔루</x:v>
      </x:c>
    </x:row>
    <x:row r="123" ht="15" hidden="0" customHeight="1">
      <x:c r="A123" s="7" t="n">
        <x:v>1159</x:v>
      </x:c>
      <x:c r="B123" s="6" t="str">
        <x:v>NormalPack_TEST</x:v>
      </x:c>
      <x:c r="C123" s="6" t="str">
        <x:v>Diamond</x:v>
      </x:c>
      <x:c r="D123" s="7" t="n">
        <x:v>30</x:v>
      </x:c>
      <x:c r="E123" s="7" t="n">
        <x:v>100</x:v>
      </x:c>
      <x:c r="F123" s="6" t="str">
        <x:v>폭탄밤</x:v>
      </x:c>
    </x:row>
    <x:row r="124" ht="15" hidden="0" customHeight="1">
      <x:c r="A124" s="7" t="n">
        <x:v>1160</x:v>
      </x:c>
      <x:c r="B124" s="6" t="str">
        <x:v>NormalPack_TEST</x:v>
      </x:c>
      <x:c r="C124" s="6" t="str">
        <x:v>Diamond</x:v>
      </x:c>
      <x:c r="D124" s="7" t="n">
        <x:v>32</x:v>
      </x:c>
      <x:c r="E124" s="7" t="n">
        <x:v>8</x:v>
      </x:c>
      <x:c r="F124" s="6" t="str">
        <x:v>별꼬리</x:v>
      </x:c>
    </x:row>
    <x:row r="125" ht="15" hidden="0" customHeight="1">
      <x:c r="A125" s="7" t="n">
        <x:v>1161</x:v>
      </x:c>
      <x:c r="B125" s="6" t="str">
        <x:v>NormalPack_TEST</x:v>
      </x:c>
      <x:c r="C125" s="6" t="str">
        <x:v>Diamond</x:v>
      </x:c>
      <x:c r="D125" s="7" t="n">
        <x:v>33</x:v>
      </x:c>
      <x:c r="E125" s="7" t="n">
        <x:v>100</x:v>
      </x:c>
      <x:c r="F125" s="6" t="str">
        <x:v>루미엘크</x:v>
      </x:c>
    </x:row>
    <x:row r="126" ht="15" hidden="0" customHeight="1">
      <x:c r="A126" s="7" t="n">
        <x:v>1162</x:v>
      </x:c>
      <x:c r="B126" s="6" t="str">
        <x:v>NormalPack_TEST</x:v>
      </x:c>
      <x:c r="C126" s="6" t="str">
        <x:v>Diamond</x:v>
      </x:c>
      <x:c r="D126" s="7" t="n">
        <x:v>35</x:v>
      </x:c>
      <x:c r="E126" s="7" t="n">
        <x:v>663</x:v>
      </x:c>
      <x:c r="F126" s="6" t="str">
        <x:v>문바이트</x:v>
      </x:c>
    </x:row>
    <x:row r="127" ht="15" hidden="0" customHeight="1">
      <x:c r="A127" s="7" t="n">
        <x:v>1163</x:v>
      </x:c>
      <x:c r="B127" s="6" t="str">
        <x:v>NormalPack_TEST</x:v>
      </x:c>
      <x:c r="C127" s="6" t="str">
        <x:v>Diamond</x:v>
      </x:c>
      <x:c r="D127" s="7" t="n">
        <x:v>36</x:v>
      </x:c>
      <x:c r="E127" s="7" t="n">
        <x:v>8</x:v>
      </x:c>
      <x:c r="F127" s="6" t="str">
        <x:v>틱톡곤</x:v>
      </x:c>
    </x:row>
    <x:row r="128" ht="15" hidden="0" customHeight="1">
      <x:c r="A128" s="7" t="n">
        <x:v>1164</x:v>
      </x:c>
      <x:c r="B128" s="6" t="str">
        <x:v>NormalPack_TEST</x:v>
      </x:c>
      <x:c r="C128" s="6" t="str">
        <x:v>Diamond</x:v>
      </x:c>
      <x:c r="D128" s="7" t="n">
        <x:v>37</x:v>
      </x:c>
      <x:c r="E128" s="7" t="n">
        <x:v>100</x:v>
      </x:c>
      <x:c r="F128" s="6" t="str">
        <x:v>마그네토스</x:v>
      </x:c>
    </x:row>
    <x:row r="129" ht="15" hidden="0" customHeight="1">
      <x:c r="A129" s="7" t="n">
        <x:v>1165</x:v>
      </x:c>
      <x:c r="B129" s="6" t="str">
        <x:v>NormalPack_TEST</x:v>
      </x:c>
      <x:c r="C129" s="6" t="str">
        <x:v>Diamond</x:v>
      </x:c>
      <x:c r="D129" s="7" t="n">
        <x:v>5</x:v>
      </x:c>
      <x:c r="E129" s="7" t="n">
        <x:v>100</x:v>
      </x:c>
      <x:c r="F129" s="6" t="str">
        <x:v>철갑몽치</x:v>
      </x:c>
    </x:row>
    <x:row r="130" ht="15" hidden="0" customHeight="1">
      <x:c r="A130" s="7" t="n">
        <x:v>1166</x:v>
      </x:c>
      <x:c r="B130" s="6" t="str">
        <x:v>NormalPack_TEST</x:v>
      </x:c>
      <x:c r="C130" s="6" t="str">
        <x:v>Diamond</x:v>
      </x:c>
      <x:c r="D130" s="7" t="n">
        <x:v>6</x:v>
      </x:c>
      <x:c r="E130" s="7" t="n">
        <x:v>100</x:v>
      </x:c>
      <x:c r="F130" s="6" t="str">
        <x:v>바위콩</x:v>
      </x:c>
    </x:row>
    <x:row r="131" ht="15" hidden="0" customHeight="1">
      <x:c r="A131" s="7" t="n">
        <x:v>1167</x:v>
      </x:c>
      <x:c r="B131" s="6" t="str">
        <x:v>NormalPack_TEST</x:v>
      </x:c>
      <x:c r="C131" s="6" t="str">
        <x:v>Diamond</x:v>
      </x:c>
      <x:c r="D131" s="7" t="n">
        <x:v>8</x:v>
      </x:c>
      <x:c r="E131" s="7" t="n">
        <x:v>100</x:v>
      </x:c>
      <x:c r="F131" s="6" t="str">
        <x:v>깜밤이</x:v>
      </x:c>
    </x:row>
    <x:row r="132" ht="15" hidden="0" customHeight="1">
      <x:c r="A132" s="7" t="n">
        <x:v>1168</x:v>
      </x:c>
      <x:c r="B132" s="6" t="str">
        <x:v>NormalPack_TEST</x:v>
      </x:c>
      <x:c r="C132" s="6" t="str">
        <x:v>Diamond</x:v>
      </x:c>
      <x:c r="D132" s="7" t="n">
        <x:v>10</x:v>
      </x:c>
      <x:c r="E132" s="7" t="n">
        <x:v>100</x:v>
      </x:c>
      <x:c r="F132" s="6" t="str">
        <x:v>꿈먹이</x:v>
      </x:c>
    </x:row>
    <x:row r="133" ht="15" hidden="0" customHeight="1">
      <x:c r="A133" s="7" t="n">
        <x:v>1169</x:v>
      </x:c>
      <x:c r="B133" s="6" t="str">
        <x:v>NormalPack_TEST</x:v>
      </x:c>
      <x:c r="C133" s="6" t="str">
        <x:v>Diamond</x:v>
      </x:c>
      <x:c r="D133" s="7" t="n">
        <x:v>11</x:v>
      </x:c>
      <x:c r="E133" s="7" t="n">
        <x:v>100</x:v>
      </x:c>
      <x:c r="F133" s="6" t="str">
        <x:v>우드혼</x:v>
      </x:c>
    </x:row>
    <x:row r="134" ht="15" hidden="0" customHeight="1">
      <x:c r="A134" s="7" t="n">
        <x:v>1170</x:v>
      </x:c>
      <x:c r="B134" s="6" t="str">
        <x:v>NormalPack_TEST</x:v>
      </x:c>
      <x:c r="C134" s="6" t="str">
        <x:v>Diamond</x:v>
      </x:c>
      <x:c r="D134" s="7" t="n">
        <x:v>12</x:v>
      </x:c>
      <x:c r="E134" s="7" t="n">
        <x:v>9</x:v>
      </x:c>
      <x:c r="F134" s="6" t="str">
        <x:v>대장부리</x:v>
      </x:c>
    </x:row>
    <x:row r="135" ht="15" hidden="0" customHeight="1">
      <x:c r="A135" s="7" t="n">
        <x:v>1171</x:v>
      </x:c>
      <x:c r="B135" s="6" t="str">
        <x:v>NormalPack_TEST</x:v>
      </x:c>
      <x:c r="C135" s="6" t="str">
        <x:v>Diamond</x:v>
      </x:c>
      <x:c r="D135" s="7" t="n">
        <x:v>14</x:v>
      </x:c>
      <x:c r="E135" s="7" t="n">
        <x:v>99</x:v>
      </x:c>
      <x:c r="F135" s="6" t="str">
        <x:v>해롱문어</x:v>
      </x:c>
    </x:row>
    <x:row r="136" ht="15" hidden="0" customHeight="1">
      <x:c r="A136" s="7" t="n">
        <x:v>1172</x:v>
      </x:c>
      <x:c r="B136" s="6" t="str">
        <x:v>NormalPack_TEST</x:v>
      </x:c>
      <x:c r="C136" s="6" t="str">
        <x:v>Diamond</x:v>
      </x:c>
      <x:c r="D136" s="7" t="n">
        <x:v>22</x:v>
      </x:c>
      <x:c r="E136" s="7" t="n">
        <x:v>99</x:v>
      </x:c>
      <x:c r="F136" s="6" t="str">
        <x:v>톱니두더</x:v>
      </x:c>
    </x:row>
    <x:row r="137" ht="15" hidden="0" customHeight="1">
      <x:c r="A137" s="7" t="n">
        <x:v>1173</x:v>
      </x:c>
      <x:c r="B137" s="6" t="str">
        <x:v>NormalPack_TEST</x:v>
      </x:c>
      <x:c r="C137" s="6" t="str">
        <x:v>Diamond</x:v>
      </x:c>
      <x:c r="D137" s="7" t="n">
        <x:v>25</x:v>
      </x:c>
      <x:c r="E137" s="7" t="n">
        <x:v>99</x:v>
      </x:c>
      <x:c r="F137" s="6" t="str">
        <x:v>찌릿핀</x:v>
      </x:c>
    </x:row>
    <x:row r="138" ht="15" hidden="0" customHeight="1">
      <x:c r="A138" s="7" t="n">
        <x:v>1174</x:v>
      </x:c>
      <x:c r="B138" s="6" t="str">
        <x:v>NormalPack_TEST</x:v>
      </x:c>
      <x:c r="C138" s="6" t="str">
        <x:v>Diamond</x:v>
      </x:c>
      <x:c r="D138" s="7" t="n">
        <x:v>28</x:v>
      </x:c>
      <x:c r="E138" s="7" t="n">
        <x:v>99</x:v>
      </x:c>
      <x:c r="F138" s="6" t="str">
        <x:v>단풍꼬리</x:v>
      </x:c>
    </x:row>
    <x:row r="139" ht="15" hidden="0" customHeight="1">
      <x:c r="A139" s="7" t="n">
        <x:v>1175</x:v>
      </x:c>
      <x:c r="B139" s="6" t="str">
        <x:v>NormalPack_TEST</x:v>
      </x:c>
      <x:c r="C139" s="6" t="str">
        <x:v>Diamond</x:v>
      </x:c>
      <x:c r="D139" s="7" t="n">
        <x:v>31</x:v>
      </x:c>
      <x:c r="E139" s="7" t="n">
        <x:v>8</x:v>
      </x:c>
      <x:c r="F139" s="6" t="str">
        <x:v>수정코뿔소</x:v>
      </x:c>
    </x:row>
    <x:row r="140" ht="15" hidden="0" customHeight="1">
      <x:c r="A140" s="7" t="n">
        <x:v>1176</x:v>
      </x:c>
      <x:c r="B140" s="6" t="str">
        <x:v>NormalPack_TEST</x:v>
      </x:c>
      <x:c r="C140" s="6" t="str">
        <x:v>Diamond</x:v>
      </x:c>
      <x:c r="D140" s="7" t="n">
        <x:v>34</x:v>
      </x:c>
      <x:c r="E140" s="7" t="n">
        <x:v>99</x:v>
      </x:c>
      <x:c r="F140" s="6" t="str">
        <x:v>마그몰</x:v>
      </x:c>
    </x:row>
    <x:row r="141" ht="15" hidden="0" customHeight="1">
      <x:c r="A141" s="7" t="n">
        <x:v>1177</x:v>
      </x:c>
      <x:c r="B141" s="6" t="str">
        <x:v>NormalPack_TEST</x:v>
      </x:c>
      <x:c r="C141" s="6" t="str">
        <x:v>Diamond</x:v>
      </x:c>
      <x:c r="D141" s="7" t="n">
        <x:v>38</x:v>
      </x:c>
      <x:c r="E141" s="7" t="n">
        <x:v>8</x:v>
      </x:c>
      <x:c r="F141" s="6" t="str">
        <x:v>크랙몬</x:v>
      </x:c>
    </x:row>
    <x:row r="142" ht="15" hidden="0" customHeight="1">
      <x:c r="A142" s="7" t="n">
        <x:v>1279</x:v>
      </x:c>
      <x:c r="B142" s="6" t="str">
        <x:v>HuntingBrandPack</x:v>
      </x:c>
      <x:c r="C142" s="6" t="str">
        <x:v>Bronze</x:v>
      </x:c>
      <x:c r="D142" s="7" t="n">
        <x:v>17</x:v>
      </x:c>
      <x:c r="E142" s="7" t="n">
        <x:v>1658</x:v>
      </x:c>
      <x:c r="F142" s="6" t="str">
        <x:v>와글도도</x:v>
      </x:c>
    </x:row>
    <x:row r="143" ht="15" hidden="0" customHeight="1">
      <x:c r="A143" s="7" t="n">
        <x:v>1280</x:v>
      </x:c>
      <x:c r="B143" s="6" t="str">
        <x:v>HuntingBrandPack</x:v>
      </x:c>
      <x:c r="C143" s="6" t="str">
        <x:v>Bronze</x:v>
      </x:c>
      <x:c r="D143" s="7" t="n">
        <x:v>18</x:v>
      </x:c>
      <x:c r="E143" s="7" t="n">
        <x:v>1658</x:v>
      </x:c>
      <x:c r="F143" s="6" t="str">
        <x:v>모래몽</x:v>
      </x:c>
    </x:row>
    <x:row r="144" ht="15" hidden="0" customHeight="1">
      <x:c r="A144" s="7" t="n">
        <x:v>1281</x:v>
      </x:c>
      <x:c r="B144" s="6" t="str">
        <x:v>HuntingBrandPack</x:v>
      </x:c>
      <x:c r="C144" s="6" t="str">
        <x:v>Bronze</x:v>
      </x:c>
      <x:c r="D144" s="7" t="n">
        <x:v>19</x:v>
      </x:c>
      <x:c r="E144" s="7" t="n">
        <x:v>1658</x:v>
      </x:c>
      <x:c r="F144" s="6" t="str">
        <x:v>얼음꼬미</x:v>
      </x:c>
    </x:row>
    <x:row r="145" ht="15" hidden="0" customHeight="1">
      <x:c r="A145" s="7" t="n">
        <x:v>1282</x:v>
      </x:c>
      <x:c r="B145" s="6" t="str">
        <x:v>HuntingBrandPack</x:v>
      </x:c>
      <x:c r="C145" s="6" t="str">
        <x:v>Bronze</x:v>
      </x:c>
      <x:c r="D145" s="7" t="n">
        <x:v>20</x:v>
      </x:c>
      <x:c r="E145" s="7" t="n">
        <x:v>1657</x:v>
      </x:c>
      <x:c r="F145" s="6" t="str">
        <x:v>꿀꿀비</x:v>
      </x:c>
    </x:row>
    <x:row r="146" ht="15" hidden="0" customHeight="1">
      <x:c r="A146" s="7" t="n">
        <x:v>1284</x:v>
      </x:c>
      <x:c r="B146" s="6" t="str">
        <x:v>HuntingBrandPack</x:v>
      </x:c>
      <x:c r="C146" s="6" t="str">
        <x:v>Bronze</x:v>
      </x:c>
      <x:c r="D146" s="7" t="n">
        <x:v>39</x:v>
      </x:c>
      <x:c r="E146" s="7" t="n">
        <x:v>30</x:v>
      </x:c>
      <x:c r="F146" s="6" t="str">
        <x:v>라이고르</x:v>
      </x:c>
    </x:row>
    <x:row r="147" ht="15" hidden="0" customHeight="1">
      <x:c r="A147" s="7" t="n">
        <x:v>1285</x:v>
      </x:c>
      <x:c r="B147" s="6" t="str">
        <x:v>ImmortalLegacyPack</x:v>
      </x:c>
      <x:c r="C147" s="6" t="str">
        <x:v>Bronze</x:v>
      </x:c>
      <x:c r="D147" s="7" t="n">
        <x:v>8</x:v>
      </x:c>
      <x:c r="E147" s="7" t="n">
        <x:v>622</x:v>
      </x:c>
      <x:c r="F147" s="6" t="str">
        <x:v>깜밤이</x:v>
      </x:c>
    </x:row>
    <x:row r="148" ht="15" hidden="0" customHeight="1">
      <x:c r="A148" s="7" t="n">
        <x:v>1286</x:v>
      </x:c>
      <x:c r="B148" s="6" t="str">
        <x:v>ImmortalLegacyPack</x:v>
      </x:c>
      <x:c r="C148" s="6" t="str">
        <x:v>Bronze</x:v>
      </x:c>
      <x:c r="D148" s="7" t="n">
        <x:v>9</x:v>
      </x:c>
      <x:c r="E148" s="7" t="n">
        <x:v>6631</x:v>
      </x:c>
      <x:c r="F148" s="6" t="str">
        <x:v>버섯냥</x:v>
      </x:c>
    </x:row>
    <x:row r="149" ht="15" hidden="0" customHeight="1">
      <x:c r="A149" s="7" t="n">
        <x:v>1287</x:v>
      </x:c>
      <x:c r="B149" s="6" t="str">
        <x:v>ImmortalLegacyPack</x:v>
      </x:c>
      <x:c r="C149" s="6" t="str">
        <x:v>Bronze</x:v>
      </x:c>
      <x:c r="D149" s="7" t="n">
        <x:v>10</x:v>
      </x:c>
      <x:c r="E149" s="7" t="n">
        <x:v>622</x:v>
      </x:c>
      <x:c r="F149" s="6" t="str">
        <x:v>꿈먹이</x:v>
      </x:c>
    </x:row>
    <x:row r="150" ht="15" hidden="0" customHeight="1">
      <x:c r="A150" s="7" t="n">
        <x:v>1288</x:v>
      </x:c>
      <x:c r="B150" s="6" t="str">
        <x:v>ImmortalLegacyPack</x:v>
      </x:c>
      <x:c r="C150" s="6" t="str">
        <x:v>Bronze</x:v>
      </x:c>
      <x:c r="D150" s="7" t="n">
        <x:v>11</x:v>
      </x:c>
      <x:c r="E150" s="7" t="n">
        <x:v>622</x:v>
      </x:c>
      <x:c r="F150" s="6" t="str">
        <x:v>우드혼</x:v>
      </x:c>
    </x:row>
    <x:row r="151" ht="15" hidden="0" customHeight="1">
      <x:c r="A151" s="7" t="n">
        <x:v>1289</x:v>
      </x:c>
      <x:c r="B151" s="6" t="str">
        <x:v>ImmortalLegacyPack</x:v>
      </x:c>
      <x:c r="C151" s="6" t="str">
        <x:v>Bronze</x:v>
      </x:c>
      <x:c r="D151" s="7" t="n">
        <x:v>12</x:v>
      </x:c>
      <x:c r="E151" s="7" t="n">
        <x:v>200</x:v>
      </x:c>
      <x:c r="F151" s="6" t="str">
        <x:v>대장부리</x:v>
      </x:c>
    </x:row>
    <x:row r="152" ht="15" hidden="0" customHeight="1">
      <x:c r="A152" s="7" t="n">
        <x:v>1291</x:v>
      </x:c>
      <x:c r="B152" s="6" t="str">
        <x:v>ImmortalLegacyPack</x:v>
      </x:c>
      <x:c r="C152" s="6" t="str">
        <x:v>Bronze</x:v>
      </x:c>
      <x:c r="D152" s="7" t="n">
        <x:v>33</x:v>
      </x:c>
      <x:c r="E152" s="7" t="n">
        <x:v>622</x:v>
      </x:c>
      <x:c r="F152" s="6" t="str">
        <x:v>루미엘크</x:v>
      </x:c>
    </x:row>
    <x:row r="153" ht="15" hidden="0" customHeight="1">
      <x:c r="A153" s="7" t="n">
        <x:v>1292</x:v>
      </x:c>
      <x:c r="B153" s="6" t="str">
        <x:v>ImmortalLegacyPack</x:v>
      </x:c>
      <x:c r="C153" s="6" t="str">
        <x:v>Bronze</x:v>
      </x:c>
      <x:c r="D153" s="7" t="n">
        <x:v>40</x:v>
      </x:c>
      <x:c r="E153" s="7" t="n">
        <x:v>30</x:v>
      </x:c>
      <x:c r="F153" s="6" t="str">
        <x:v>피닉시아</x:v>
      </x:c>
    </x:row>
    <x:row r="154" ht="15" hidden="0" customHeight="1">
      <x:c r="A154" s="7" t="n">
        <x:v>1293</x:v>
      </x:c>
      <x:c r="B154" s="6" t="str">
        <x:v>IronArmorPack</x:v>
      </x:c>
      <x:c r="C154" s="6" t="str">
        <x:v>Bronze</x:v>
      </x:c>
      <x:c r="D154" s="7" t="n">
        <x:v>5</x:v>
      </x:c>
      <x:c r="E154" s="7" t="n">
        <x:v>1037</x:v>
      </x:c>
      <x:c r="F154" s="6" t="str">
        <x:v>철갑몽치</x:v>
      </x:c>
    </x:row>
    <x:row r="155" ht="15" hidden="0" customHeight="1">
      <x:c r="A155" s="7" t="n">
        <x:v>1294</x:v>
      </x:c>
      <x:c r="B155" s="6" t="str">
        <x:v>IronArmorPack</x:v>
      </x:c>
      <x:c r="C155" s="6" t="str">
        <x:v>Bronze</x:v>
      </x:c>
      <x:c r="D155" s="7" t="n">
        <x:v>6</x:v>
      </x:c>
      <x:c r="E155" s="7" t="n">
        <x:v>1036</x:v>
      </x:c>
      <x:c r="F155" s="6" t="str">
        <x:v>바위콩</x:v>
      </x:c>
    </x:row>
    <x:row r="156" ht="15" hidden="0" customHeight="1">
      <x:c r="A156" s="7" t="n">
        <x:v>1295</x:v>
      </x:c>
      <x:c r="B156" s="6" t="str">
        <x:v>IronArmorPack</x:v>
      </x:c>
      <x:c r="C156" s="6" t="str">
        <x:v>Bronze</x:v>
      </x:c>
      <x:c r="D156" s="7" t="n">
        <x:v>7</x:v>
      </x:c>
      <x:c r="E156" s="7" t="n">
        <x:v>1036</x:v>
      </x:c>
      <x:c r="F156" s="6" t="str">
        <x:v>왕밤도치</x:v>
      </x:c>
    </x:row>
    <x:row r="157" ht="15" hidden="0" customHeight="1">
      <x:c r="A157" s="7" t="n">
        <x:v>1305</x:v>
      </x:c>
      <x:c r="B157" s="6" t="str">
        <x:v>GiantsGardenPack</x:v>
      </x:c>
      <x:c r="C157" s="6" t="str">
        <x:v>Bronze</x:v>
      </x:c>
      <x:c r="D157" s="7" t="n">
        <x:v>23</x:v>
      </x:c>
      <x:c r="E157" s="7" t="n">
        <x:v>519</x:v>
      </x:c>
      <x:c r="F157" s="6" t="str">
        <x:v>눈덩곰</x:v>
      </x:c>
    </x:row>
    <x:row r="158" ht="15" hidden="0" customHeight="1">
      <x:c r="A158" s="7" t="n">
        <x:v>1306</x:v>
      </x:c>
      <x:c r="B158" s="6" t="str">
        <x:v>GiantsGardenPack</x:v>
      </x:c>
      <x:c r="C158" s="6" t="str">
        <x:v>Bronze</x:v>
      </x:c>
      <x:c r="D158" s="7" t="n">
        <x:v>24</x:v>
      </x:c>
      <x:c r="E158" s="7" t="n">
        <x:v>518</x:v>
      </x:c>
      <x:c r="F158" s="6" t="str">
        <x:v>화르룩스</x:v>
      </x:c>
    </x:row>
    <x:row r="159" ht="15" hidden="0" customHeight="1">
      <x:c r="A159" s="7" t="n">
        <x:v>1308</x:v>
      </x:c>
      <x:c r="B159" s="6" t="str">
        <x:v>GiantsGardenPack</x:v>
      </x:c>
      <x:c r="C159" s="6" t="str">
        <x:v>Bronze</x:v>
      </x:c>
      <x:c r="D159" s="7" t="n">
        <x:v>34</x:v>
      </x:c>
      <x:c r="E159" s="7" t="n">
        <x:v>518</x:v>
      </x:c>
      <x:c r="F159" s="6" t="str">
        <x:v>마그몰</x:v>
      </x:c>
    </x:row>
    <x:row r="160" ht="15" hidden="0" customHeight="1">
      <x:c r="A160" s="7" t="n">
        <x:v>1309</x:v>
      </x:c>
      <x:c r="B160" s="6" t="str">
        <x:v>GiantsGardenPack</x:v>
      </x:c>
      <x:c r="C160" s="6" t="str">
        <x:v>Bronze</x:v>
      </x:c>
      <x:c r="D160" s="7" t="n">
        <x:v>38</x:v>
      </x:c>
      <x:c r="E160" s="7" t="n">
        <x:v>200</x:v>
      </x:c>
      <x:c r="F160" s="6" t="str">
        <x:v>크랙몬</x:v>
      </x:c>
    </x:row>
    <x:row r="161" ht="15" hidden="0" customHeight="1">
      <x:c r="A161" s="7" t="n">
        <x:v>1310</x:v>
      </x:c>
      <x:c r="B161" s="6" t="str">
        <x:v>ElementalFlowPack</x:v>
      </x:c>
      <x:c r="C161" s="6" t="str">
        <x:v>Bronze</x:v>
      </x:c>
      <x:c r="D161" s="7" t="n">
        <x:v>15</x:v>
      </x:c>
      <x:c r="E161" s="7" t="n">
        <x:v>3316</x:v>
      </x:c>
      <x:c r="F161" s="6" t="str">
        <x:v>물방울룽</x:v>
      </x:c>
    </x:row>
    <x:row r="162" ht="15" hidden="0" customHeight="1">
      <x:c r="A162" s="7" t="n">
        <x:v>1311</x:v>
      </x:c>
      <x:c r="B162" s="6" t="str">
        <x:v>ElementalFlowPack</x:v>
      </x:c>
      <x:c r="C162" s="6" t="str">
        <x:v>Bronze</x:v>
      </x:c>
      <x:c r="D162" s="7" t="n">
        <x:v>16</x:v>
      </x:c>
      <x:c r="E162" s="7" t="n">
        <x:v>3315</x:v>
      </x:c>
      <x:c r="F162" s="6" t="str">
        <x:v>풍선펭</x:v>
      </x:c>
    </x:row>
    <x:row r="163" ht="15" hidden="0" customHeight="1">
      <x:c r="A163" s="7" t="n">
        <x:v>1312</x:v>
      </x:c>
      <x:c r="B163" s="6" t="str">
        <x:v>ElementalFlowPack</x:v>
      </x:c>
      <x:c r="C163" s="6" t="str">
        <x:v>Bronze</x:v>
      </x:c>
      <x:c r="D163" s="7" t="n">
        <x:v>25</x:v>
      </x:c>
      <x:c r="E163" s="7" t="n">
        <x:v>778</x:v>
      </x:c>
      <x:c r="F163" s="6" t="str">
        <x:v>찌릿핀</x:v>
      </x:c>
    </x:row>
    <x:row r="164" ht="15" hidden="0" customHeight="1">
      <x:c r="A164" s="7" t="n">
        <x:v>1313</x:v>
      </x:c>
      <x:c r="B164" s="6" t="str">
        <x:v>ElementalFlowPack</x:v>
      </x:c>
      <x:c r="C164" s="6" t="str">
        <x:v>Bronze</x:v>
      </x:c>
      <x:c r="D164" s="7" t="n">
        <x:v>26</x:v>
      </x:c>
      <x:c r="E164" s="7" t="n">
        <x:v>777</x:v>
      </x:c>
      <x:c r="F164" s="6" t="str">
        <x:v>번개뿔</x:v>
      </x:c>
    </x:row>
    <x:row r="165" ht="15" hidden="0" customHeight="1">
      <x:c r="A165" s="7" t="n">
        <x:v>1314</x:v>
      </x:c>
      <x:c r="B165" s="6" t="str">
        <x:v>ElementalFlowPack</x:v>
      </x:c>
      <x:c r="C165" s="6" t="str">
        <x:v>Bronze</x:v>
      </x:c>
      <x:c r="D165" s="7" t="n">
        <x:v>27</x:v>
      </x:c>
      <x:c r="E165" s="7" t="n">
        <x:v>777</x:v>
      </x:c>
      <x:c r="F165" s="6" t="str">
        <x:v>모닥콩</x:v>
      </x:c>
    </x:row>
    <x:row r="166" ht="15" hidden="0" customHeight="1">
      <x:c r="A166" s="7" t="n">
        <x:v>1316</x:v>
      </x:c>
      <x:c r="B166" s="6" t="str">
        <x:v>ElementalFlowPack</x:v>
      </x:c>
      <x:c r="C166" s="6" t="str">
        <x:v>Bronze</x:v>
      </x:c>
      <x:c r="D166" s="7" t="n">
        <x:v>36</x:v>
      </x:c>
      <x:c r="E166" s="7" t="n">
        <x:v>200</x:v>
      </x:c>
      <x:c r="F166" s="6" t="str">
        <x:v>틱톡곤</x:v>
      </x:c>
    </x:row>
    <x:row r="167" ht="15" hidden="0" customHeight="1">
      <x:c r="A167" s="7" t="n">
        <x:v>1317</x:v>
      </x:c>
      <x:c r="B167" s="6" t="str">
        <x:v>NormalPack_TEST</x:v>
      </x:c>
      <x:c r="C167" s="6" t="str">
        <x:v>Gold</x:v>
      </x:c>
      <x:c r="D167" s="7" t="n">
        <x:v>7</x:v>
      </x:c>
      <x:c r="E167" s="7" t="n">
        <x:v>165</x:v>
      </x:c>
      <x:c r="F167" s="6" t="str">
        <x:v>왕밤도치</x:v>
      </x:c>
    </x:row>
    <x:row r="168" ht="15" hidden="0" customHeight="1">
      <x:c r="A168" s="7" t="n">
        <x:v>1318</x:v>
      </x:c>
      <x:c r="B168" s="6" t="str">
        <x:v>NormalPack_TEST</x:v>
      </x:c>
      <x:c r="C168" s="6" t="str">
        <x:v>Platinum</x:v>
      </x:c>
      <x:c r="D168" s="7" t="n">
        <x:v>7</x:v>
      </x:c>
      <x:c r="E168" s="7" t="n">
        <x:v>124</x:v>
      </x:c>
      <x:c r="F168" s="6" t="str">
        <x:v>왕밤도치</x:v>
      </x:c>
    </x:row>
    <x:row r="169" ht="15" hidden="0" customHeight="1">
      <x:c r="A169" s="7" t="n">
        <x:v>1319</x:v>
      </x:c>
      <x:c r="B169" s="6" t="str">
        <x:v>NormalPack_TEST</x:v>
      </x:c>
      <x:c r="C169" s="6" t="str">
        <x:v>Platinum</x:v>
      </x:c>
      <x:c r="D169" s="7" t="n">
        <x:v>23</x:v>
      </x:c>
      <x:c r="E169" s="7" t="n">
        <x:v>124</x:v>
      </x:c>
      <x:c r="F169" s="6" t="str">
        <x:v>눈덩곰</x:v>
      </x:c>
    </x:row>
    <x:row r="170" ht="15" hidden="0" customHeight="1">
      <x:c r="A170" s="7" t="n">
        <x:v>1320</x:v>
      </x:c>
      <x:c r="B170" s="6" t="str">
        <x:v>NormalPack_TEST</x:v>
      </x:c>
      <x:c r="C170" s="6" t="str">
        <x:v>Platinum</x:v>
      </x:c>
      <x:c r="D170" s="7" t="n">
        <x:v>24</x:v>
      </x:c>
      <x:c r="E170" s="7" t="n">
        <x:v>124</x:v>
      </x:c>
      <x:c r="F170" s="6" t="str">
        <x:v>화르룩스</x:v>
      </x:c>
    </x:row>
    <x:row r="171" ht="15" hidden="0" customHeight="1">
      <x:c r="A171" s="7" t="n">
        <x:v>1321</x:v>
      </x:c>
      <x:c r="B171" s="6" t="str">
        <x:v>NormalPack_TEST</x:v>
      </x:c>
      <x:c r="C171" s="6" t="str">
        <x:v>Platinum</x:v>
      </x:c>
      <x:c r="D171" s="7" t="n">
        <x:v>21</x:v>
      </x:c>
      <x:c r="E171" s="7" t="n">
        <x:v>9</x:v>
      </x:c>
      <x:c r="F171" s="6" t="str">
        <x:v>자석게</x:v>
      </x:c>
    </x:row>
    <x:row r="172" ht="15" hidden="0" customHeight="1">
      <x:c r="A172" s="7" t="n">
        <x:v>1322</x:v>
      </x:c>
      <x:c r="B172" s="6" t="str">
        <x:v>NormalPack_TEST</x:v>
      </x:c>
      <x:c r="C172" s="6" t="str">
        <x:v>Diamond</x:v>
      </x:c>
      <x:c r="D172" s="7" t="n">
        <x:v>7</x:v>
      </x:c>
      <x:c r="E172" s="7" t="n">
        <x:v>99</x:v>
      </x:c>
      <x:c r="F172" s="6" t="str">
        <x:v>왕밤도치</x:v>
      </x:c>
    </x:row>
    <x:row r="173" ht="15" hidden="0" customHeight="1">
      <x:c r="A173" s="7" t="n">
        <x:v>1323</x:v>
      </x:c>
      <x:c r="B173" s="6" t="str">
        <x:v>NormalPack_TEST</x:v>
      </x:c>
      <x:c r="C173" s="6" t="str">
        <x:v>Diamond</x:v>
      </x:c>
      <x:c r="D173" s="7" t="n">
        <x:v>23</x:v>
      </x:c>
      <x:c r="E173" s="7" t="n">
        <x:v>99</x:v>
      </x:c>
      <x:c r="F173" s="6" t="str">
        <x:v>눈덩곰</x:v>
      </x:c>
    </x:row>
    <x:row r="174" ht="15" hidden="0" customHeight="1">
      <x:c r="A174" s="7" t="n">
        <x:v>1324</x:v>
      </x:c>
      <x:c r="B174" s="6" t="str">
        <x:v>NormalPack_TEST</x:v>
      </x:c>
      <x:c r="C174" s="6" t="str">
        <x:v>Diamond</x:v>
      </x:c>
      <x:c r="D174" s="7" t="n">
        <x:v>24</x:v>
      </x:c>
      <x:c r="E174" s="7" t="n">
        <x:v>99</x:v>
      </x:c>
      <x:c r="F174" s="6" t="str">
        <x:v>화르룩스</x:v>
      </x:c>
    </x:row>
    <x:row r="175" ht="15" hidden="0" customHeight="1">
      <x:c r="A175" s="7" t="n">
        <x:v>1325</x:v>
      </x:c>
      <x:c r="B175" s="6" t="str">
        <x:v>NormalPack_TEST</x:v>
      </x:c>
      <x:c r="C175" s="6" t="str">
        <x:v>Diamond</x:v>
      </x:c>
      <x:c r="D175" s="7" t="n">
        <x:v>26</x:v>
      </x:c>
      <x:c r="E175" s="7" t="n">
        <x:v>99</x:v>
      </x:c>
      <x:c r="F175" s="6" t="str">
        <x:v>번개뿔</x:v>
      </x:c>
    </x:row>
    <x:row r="176" ht="15" hidden="0" customHeight="1">
      <x:c r="A176" s="7" t="n">
        <x:v>1326</x:v>
      </x:c>
      <x:c r="B176" s="6" t="str">
        <x:v>NormalPack_TEST</x:v>
      </x:c>
      <x:c r="C176" s="6" t="str">
        <x:v>Diamond</x:v>
      </x:c>
      <x:c r="D176" s="7" t="n">
        <x:v>27</x:v>
      </x:c>
      <x:c r="E176" s="7" t="n">
        <x:v>99</x:v>
      </x:c>
      <x:c r="F176" s="6" t="str">
        <x:v>모닥콩</x:v>
      </x:c>
    </x:row>
    <x:row r="177" ht="15" hidden="0" customHeight="1">
      <x:c r="A177" s="7" t="n">
        <x:v>1327</x:v>
      </x:c>
      <x:c r="B177" s="6" t="str">
        <x:v>NormalPack_TEST</x:v>
      </x:c>
      <x:c r="C177" s="6" t="str">
        <x:v>Diamond</x:v>
      </x:c>
      <x:c r="D177" s="7" t="n">
        <x:v>21</x:v>
      </x:c>
      <x:c r="E177" s="7" t="n">
        <x:v>9</x:v>
      </x:c>
      <x:c r="F177" s="6" t="str">
        <x:v>자석게</x:v>
      </x:c>
    </x:row>
    <x:row r="178" ht="15" hidden="0" customHeight="1">
      <x:c r="A178" s="7" t="n">
        <x:v>1339</x:v>
      </x:c>
      <x:c r="B178" s="6" t="str">
        <x:v>HuntingBrandPack</x:v>
      </x:c>
      <x:c r="C178" s="6" t="str">
        <x:v>Bronze</x:v>
      </x:c>
      <x:c r="D178" s="7" t="n">
        <x:v>22</x:v>
      </x:c>
      <x:c r="E178" s="7" t="n">
        <x:v>1555</x:v>
      </x:c>
      <x:c r="F178" s="6" t="str">
        <x:v>톱니두더</x:v>
      </x:c>
    </x:row>
    <x:row r="179" ht="15" hidden="0" customHeight="1">
      <x:c r="A179" s="7" t="n">
        <x:v>1340</x:v>
      </x:c>
      <x:c r="B179" s="6" t="str">
        <x:v>HuntingBrandPack</x:v>
      </x:c>
      <x:c r="C179" s="6" t="str">
        <x:v>Bronze</x:v>
      </x:c>
      <x:c r="D179" s="7" t="n">
        <x:v>37</x:v>
      </x:c>
      <x:c r="E179" s="7" t="n">
        <x:v>1554</x:v>
      </x:c>
      <x:c r="F179" s="6" t="str">
        <x:v>마그네토스</x:v>
      </x:c>
    </x:row>
    <x:row r="180" ht="15" hidden="0" customHeight="1">
      <x:c r="A180" s="7" t="n">
        <x:v>1341</x:v>
      </x:c>
      <x:c r="B180" s="6" t="str">
        <x:v>HuntingBrandPack</x:v>
      </x:c>
      <x:c r="C180" s="6" t="str">
        <x:v>Bronze</x:v>
      </x:c>
      <x:c r="D180" s="7" t="n">
        <x:v>21</x:v>
      </x:c>
      <x:c r="E180" s="7" t="n">
        <x:v>100</x:v>
      </x:c>
      <x:c r="F180" s="6" t="str">
        <x:v>자석게</x:v>
      </x:c>
    </x:row>
    <x:row r="181" ht="15" hidden="0" customHeight="1">
      <x:c r="A181" s="7" t="n">
        <x:v>1342</x:v>
      </x:c>
      <x:c r="B181" s="6" t="str">
        <x:v>HuntingBrandPack</x:v>
      </x:c>
      <x:c r="C181" s="6" t="str">
        <x:v>Bronze</x:v>
      </x:c>
      <x:c r="D181" s="7" t="n">
        <x:v>31</x:v>
      </x:c>
      <x:c r="E181" s="7" t="n">
        <x:v>100</x:v>
      </x:c>
      <x:c r="F181" s="6" t="str">
        <x:v>수정코뿔소</x:v>
      </x:c>
    </x:row>
    <x:row r="182" ht="15" hidden="0" customHeight="1">
      <x:c r="A182" s="7" t="n">
        <x:v>1343</x:v>
      </x:c>
      <x:c r="B182" s="6" t="str">
        <x:v>HuntingBrandPack</x:v>
      </x:c>
      <x:c r="C182" s="6" t="str">
        <x:v>Bronze</x:v>
      </x:c>
      <x:c r="D182" s="7" t="n">
        <x:v>40</x:v>
      </x:c>
      <x:c r="E182" s="7" t="n">
        <x:v>30</x:v>
      </x:c>
      <x:c r="F182" s="6" t="str">
        <x:v>피닉시아</x:v>
      </x:c>
    </x:row>
    <x:row r="183" ht="15" hidden="0" customHeight="1">
      <x:c r="A183" s="7" t="n">
        <x:v>1344</x:v>
      </x:c>
      <x:c r="B183" s="6" t="str">
        <x:v>IronArmorPack</x:v>
      </x:c>
      <x:c r="C183" s="6" t="str">
        <x:v>Bronze</x:v>
      </x:c>
      <x:c r="D183" s="7" t="n">
        <x:v>1</x:v>
      </x:c>
      <x:c r="E183" s="7" t="n">
        <x:v>1658</x:v>
      </x:c>
      <x:c r="F183" s="6" t="str">
        <x:v>포슬램</x:v>
      </x:c>
    </x:row>
    <x:row r="184" ht="15" hidden="0" customHeight="1">
      <x:c r="A184" s="7" t="n">
        <x:v>1345</x:v>
      </x:c>
      <x:c r="B184" s="6" t="str">
        <x:v>IronArmorPack</x:v>
      </x:c>
      <x:c r="C184" s="6" t="str">
        <x:v>Bronze</x:v>
      </x:c>
      <x:c r="D184" s="7" t="n">
        <x:v>2</x:v>
      </x:c>
      <x:c r="E184" s="7" t="n">
        <x:v>1658</x:v>
      </x:c>
      <x:c r="F184" s="6" t="str">
        <x:v>파도리</x:v>
      </x:c>
    </x:row>
    <x:row r="185" ht="15" hidden="0" customHeight="1">
      <x:c r="A185" s="7" t="n">
        <x:v>1346</x:v>
      </x:c>
      <x:c r="B185" s="6" t="str">
        <x:v>IronArmorPack</x:v>
      </x:c>
      <x:c r="C185" s="6" t="str">
        <x:v>Bronze</x:v>
      </x:c>
      <x:c r="D185" s="7" t="n">
        <x:v>3</x:v>
      </x:c>
      <x:c r="E185" s="7" t="n">
        <x:v>1658</x:v>
      </x:c>
      <x:c r="F185" s="6" t="str">
        <x:v>별토리</x:v>
      </x:c>
    </x:row>
    <x:row r="186" ht="15" hidden="0" customHeight="1">
      <x:c r="A186" s="7" t="n">
        <x:v>1347</x:v>
      </x:c>
      <x:c r="B186" s="6" t="str">
        <x:v>IronArmorPack</x:v>
      </x:c>
      <x:c r="C186" s="6" t="str">
        <x:v>Bronze</x:v>
      </x:c>
      <x:c r="D186" s="7" t="n">
        <x:v>4</x:v>
      </x:c>
      <x:c r="E186" s="7" t="n">
        <x:v>1657</x:v>
      </x:c>
      <x:c r="F186" s="6" t="str">
        <x:v>솜구름몽</x:v>
      </x:c>
    </x:row>
    <x:row r="187" ht="15" hidden="0" customHeight="1">
      <x:c r="A187" s="7" t="n">
        <x:v>1348</x:v>
      </x:c>
      <x:c r="B187" s="6" t="str">
        <x:v>IronArmorPack</x:v>
      </x:c>
      <x:c r="C187" s="6" t="str">
        <x:v>Bronze</x:v>
      </x:c>
      <x:c r="D187" s="7" t="n">
        <x:v>32</x:v>
      </x:c>
      <x:c r="E187" s="7" t="n">
        <x:v>200</x:v>
      </x:c>
      <x:c r="F187" s="6" t="str">
        <x:v>별꼬리</x:v>
      </x:c>
    </x:row>
    <x:row r="188" ht="15" hidden="0" customHeight="1">
      <x:c r="A188" s="7" t="n">
        <x:v>1349</x:v>
      </x:c>
      <x:c r="B188" s="6" t="str">
        <x:v>IronArmorPack</x:v>
      </x:c>
      <x:c r="C188" s="6" t="str">
        <x:v>Bronze</x:v>
      </x:c>
      <x:c r="D188" s="7" t="n">
        <x:v>39</x:v>
      </x:c>
      <x:c r="E188" s="7" t="n">
        <x:v>30</x:v>
      </x:c>
      <x:c r="F188" s="6" t="str">
        <x:v>라이고르</x:v>
      </x:c>
    </x:row>
    <x:row r="189" ht="15" hidden="0" customHeight="1">
      <x:c r="A189" s="7" t="n">
        <x:v>1350</x:v>
      </x:c>
      <x:c r="B189" s="6" t="str">
        <x:v>IronArmorPack</x:v>
      </x:c>
      <x:c r="C189" s="6" t="str">
        <x:v>Bronze</x:v>
      </x:c>
      <x:c r="D189" s="7" t="n">
        <x:v>40</x:v>
      </x:c>
      <x:c r="E189" s="7" t="n">
        <x:v>30</x:v>
      </x:c>
      <x:c r="F189" s="6" t="str">
        <x:v>피닉시아</x:v>
      </x:c>
    </x:row>
    <x:row r="190" ht="15" hidden="0" customHeight="1">
      <x:c r="A190" s="7" t="n">
        <x:v>1351</x:v>
      </x:c>
      <x:c r="B190" s="6" t="str">
        <x:v>GiantsGardenPack</x:v>
      </x:c>
      <x:c r="C190" s="6" t="str">
        <x:v>Bronze</x:v>
      </x:c>
      <x:c r="D190" s="7" t="n">
        <x:v>13</x:v>
      </x:c>
      <x:c r="E190" s="7" t="n">
        <x:v>518</x:v>
      </x:c>
      <x:c r="F190" s="6" t="str">
        <x:v>늪꾸리</x:v>
      </x:c>
    </x:row>
    <x:row r="191" ht="15" hidden="0" customHeight="1">
      <x:c r="A191" s="7" t="n">
        <x:v>1352</x:v>
      </x:c>
      <x:c r="B191" s="6" t="str">
        <x:v>GiantsGardenPack</x:v>
      </x:c>
      <x:c r="C191" s="6" t="str">
        <x:v>Bronze</x:v>
      </x:c>
      <x:c r="D191" s="7" t="n">
        <x:v>30</x:v>
      </x:c>
      <x:c r="E191" s="7" t="n">
        <x:v>518</x:v>
      </x:c>
      <x:c r="F191" s="6" t="str">
        <x:v>폭탄밤</x:v>
      </x:c>
    </x:row>
    <x:row r="192" ht="15" hidden="0" customHeight="1">
      <x:c r="A192" s="7" t="n">
        <x:v>1353</x:v>
      </x:c>
      <x:c r="B192" s="6" t="str">
        <x:v>GiantsGardenPack</x:v>
      </x:c>
      <x:c r="C192" s="6" t="str">
        <x:v>Bronze</x:v>
      </x:c>
      <x:c r="D192" s="7" t="n">
        <x:v>35</x:v>
      </x:c>
      <x:c r="E192" s="7" t="n">
        <x:v>6631</x:v>
      </x:c>
      <x:c r="F192" s="6" t="str">
        <x:v>문바이트</x:v>
      </x:c>
    </x:row>
    <x:row r="193" ht="15" hidden="0" customHeight="1">
      <x:c r="A193" s="7" t="n">
        <x:v>1354</x:v>
      </x:c>
      <x:c r="B193" s="6" t="str">
        <x:v>GiantsGardenPack</x:v>
      </x:c>
      <x:c r="C193" s="6" t="str">
        <x:v>Bronze</x:v>
      </x:c>
      <x:c r="D193" s="7" t="n">
        <x:v>14</x:v>
      </x:c>
      <x:c r="E193" s="7" t="n">
        <x:v>518</x:v>
      </x:c>
      <x:c r="F193" s="6" t="str">
        <x:v>해롱문어</x:v>
      </x:c>
    </x:row>
    <x:row r="194" ht="15" hidden="0" customHeight="1">
      <x:c r="A194" s="7" t="n">
        <x:v>1355</x:v>
      </x:c>
      <x:c r="B194" s="6" t="str">
        <x:v>GiantsGardenPack</x:v>
      </x:c>
      <x:c r="C194" s="6" t="str">
        <x:v>Bronze</x:v>
      </x:c>
      <x:c r="D194" s="7" t="n">
        <x:v>39</x:v>
      </x:c>
      <x:c r="E194" s="7" t="n">
        <x:v>30</x:v>
      </x:c>
      <x:c r="F194" s="6" t="str">
        <x:v>라이고르</x:v>
      </x:c>
    </x:row>
    <x:row r="195" ht="15" hidden="0" customHeight="1">
      <x:c r="A195" s="7" t="n">
        <x:v>1356</x:v>
      </x:c>
      <x:c r="B195" s="6" t="str">
        <x:v>GiantsGardenPack</x:v>
      </x:c>
      <x:c r="C195" s="6" t="str">
        <x:v>Bronze</x:v>
      </x:c>
      <x:c r="D195" s="7" t="n">
        <x:v>40</x:v>
      </x:c>
      <x:c r="E195" s="7" t="n">
        <x:v>30</x:v>
      </x:c>
      <x:c r="F195" s="6" t="str">
        <x:v>피닉시아</x:v>
      </x:c>
    </x:row>
    <x:row r="196" ht="15" hidden="0" customHeight="1">
      <x:c r="A196" s="7" t="n">
        <x:v>1357</x:v>
      </x:c>
      <x:c r="B196" s="6" t="str">
        <x:v>ImmortalLegacyPack</x:v>
      </x:c>
      <x:c r="C196" s="6" t="str">
        <x:v>Bronze</x:v>
      </x:c>
      <x:c r="D196" s="7" t="n">
        <x:v>29</x:v>
      </x:c>
      <x:c r="E196" s="7" t="n">
        <x:v>621</x:v>
      </x:c>
      <x:c r="F196" s="6" t="str">
        <x:v>수정뿔루</x:v>
      </x:c>
    </x:row>
    <x:row r="197" ht="15" hidden="0" customHeight="1">
      <x:c r="A197" s="7" t="n">
        <x:v>1358</x:v>
      </x:c>
      <x:c r="B197" s="6" t="str">
        <x:v>ImmortalLegacyPack</x:v>
      </x:c>
      <x:c r="C197" s="6" t="str">
        <x:v>Bronze</x:v>
      </x:c>
      <x:c r="D197" s="7" t="n">
        <x:v>39</x:v>
      </x:c>
      <x:c r="E197" s="7" t="n">
        <x:v>30</x:v>
      </x:c>
      <x:c r="F197" s="6" t="str">
        <x:v>라이고르</x:v>
      </x:c>
    </x:row>
    <x:row r="198" ht="15" hidden="0" customHeight="1">
      <x:c r="A198" s="7" t="n">
        <x:v>1359</x:v>
      </x:c>
      <x:c r="B198" s="6" t="str">
        <x:v>ElementalFlowPack</x:v>
      </x:c>
      <x:c r="C198" s="6" t="str">
        <x:v>Bronze</x:v>
      </x:c>
      <x:c r="D198" s="7" t="n">
        <x:v>28</x:v>
      </x:c>
      <x:c r="E198" s="7" t="n">
        <x:v>777</x:v>
      </x:c>
      <x:c r="F198" s="6" t="str">
        <x:v>단풍꼬리</x:v>
      </x:c>
    </x:row>
    <x:row r="199" ht="15" hidden="0" customHeight="1">
      <x:c r="A199" s="7" t="n">
        <x:v>1360</x:v>
      </x:c>
      <x:c r="B199" s="6" t="str">
        <x:v>ElementalFlowPack</x:v>
      </x:c>
      <x:c r="C199" s="6" t="str">
        <x:v>Bronze</x:v>
      </x:c>
      <x:c r="D199" s="7" t="n">
        <x:v>39</x:v>
      </x:c>
      <x:c r="E199" s="7" t="n">
        <x:v>30</x:v>
      </x:c>
      <x:c r="F199" s="6" t="str">
        <x:v>라이고르</x:v>
      </x:c>
    </x:row>
    <x:row r="200" ht="15" hidden="0" customHeight="1">
      <x:c r="A200" s="7" t="n">
        <x:v>1361</x:v>
      </x:c>
      <x:c r="B200" s="6" t="str">
        <x:v>ElementalFlowPack</x:v>
      </x:c>
      <x:c r="C200" s="6" t="str">
        <x:v>Bronze</x:v>
      </x:c>
      <x:c r="D200" s="7" t="n">
        <x:v>40</x:v>
      </x:c>
      <x:c r="E200" s="7" t="n">
        <x:v>30</x:v>
      </x:c>
      <x:c r="F200" s="6" t="str">
        <x:v>피닉시아</x:v>
      </x:c>
    </x:row>
    <x:row r="201" ht="15" hidden="0" customHeight="1">
      <x:c r="A201" s="7" t="n">
        <x:v>1362</x:v>
      </x:c>
      <x:c r="B201" s="6" t="str">
        <x:v>RangePack</x:v>
      </x:c>
      <x:c r="C201" s="6" t="str">
        <x:v>Bronze</x:v>
      </x:c>
      <x:c r="D201" s="7" t="n">
        <x:v>1</x:v>
      </x:c>
      <x:c r="E201" s="7" t="n">
        <x:v>1</x:v>
      </x:c>
      <x:c r="F201" s="6" t="str">
        <x:v>포슬램</x:v>
      </x:c>
    </x:row>
    <x:row r="202" ht="15" hidden="0" customHeight="1">
      <x:c r="A202" s="7" t="n">
        <x:v>1363</x:v>
      </x:c>
      <x:c r="B202" s="6" t="str">
        <x:v>RangePack</x:v>
      </x:c>
      <x:c r="C202" s="6" t="str">
        <x:v>Bronze</x:v>
      </x:c>
      <x:c r="D202" s="7" t="n">
        <x:v>2</x:v>
      </x:c>
      <x:c r="E202" s="7" t="n">
        <x:v>1</x:v>
      </x:c>
      <x:c r="F202" s="6" t="str">
        <x:v>파도리</x:v>
      </x:c>
    </x:row>
    <x:row r="203" ht="15" hidden="0" customHeight="1">
      <x:c r="A203" s="7" t="n">
        <x:v>1364</x:v>
      </x:c>
      <x:c r="B203" s="6" t="str">
        <x:v>RangePack</x:v>
      </x:c>
      <x:c r="C203" s="6" t="str">
        <x:v>Bronze</x:v>
      </x:c>
      <x:c r="D203" s="7" t="n">
        <x:v>20</x:v>
      </x:c>
      <x:c r="E203" s="7" t="n">
        <x:v>1</x:v>
      </x:c>
      <x:c r="F203" s="6" t="str">
        <x:v>꿀꿀비</x:v>
      </x:c>
    </x:row>
    <x:row r="204" ht="15" hidden="0" customHeight="1">
      <x:c r="A204" s="7" t="n">
        <x:v>1365</x:v>
      </x:c>
      <x:c r="B204" s="6" t="str">
        <x:v>RangePack</x:v>
      </x:c>
      <x:c r="C204" s="6" t="str">
        <x:v>Bronze</x:v>
      </x:c>
      <x:c r="D204" s="7" t="n">
        <x:v>4</x:v>
      </x:c>
      <x:c r="E204" s="7" t="n">
        <x:v>1</x:v>
      </x:c>
      <x:c r="F204" s="6" t="str">
        <x:v>솜구름몽</x:v>
      </x:c>
    </x:row>
    <x:row r="205" ht="15" hidden="0" customHeight="1">
      <x:c r="A205" s="7" t="n">
        <x:v>1366</x:v>
      </x:c>
      <x:c r="B205" s="6" t="str">
        <x:v>RangePack</x:v>
      </x:c>
      <x:c r="C205" s="6" t="str">
        <x:v>Bronze</x:v>
      </x:c>
      <x:c r="D205" s="7" t="n">
        <x:v>15</x:v>
      </x:c>
      <x:c r="E205" s="7" t="n">
        <x:v>1</x:v>
      </x:c>
      <x:c r="F205" s="6" t="str">
        <x:v>물방울룽</x:v>
      </x:c>
    </x:row>
    <x:row r="206" ht="15" hidden="0" customHeight="1">
      <x:c r="A206" s="7" t="n">
        <x:v>1367</x:v>
      </x:c>
      <x:c r="B206" s="6" t="str">
        <x:v>RangePack</x:v>
      </x:c>
      <x:c r="C206" s="6" t="str">
        <x:v>Bronze</x:v>
      </x:c>
      <x:c r="D206" s="7" t="n">
        <x:v>35</x:v>
      </x:c>
      <x:c r="E206" s="7" t="n">
        <x:v>1</x:v>
      </x:c>
      <x:c r="F206" s="6" t="str">
        <x:v>우드혼</x:v>
      </x:c>
    </x:row>
    <x:row r="207" ht="15" hidden="0" customHeight="1">
      <x:c r="A207" s="7" t="n">
        <x:v>1368</x:v>
      </x:c>
      <x:c r="B207" s="6" t="str">
        <x:v>TutorialStarterGrant</x:v>
      </x:c>
      <x:c r="C207" s="6" t="str">
        <x:v>Bronze</x:v>
      </x:c>
      <x:c r="D207" s="7" t="n">
        <x:v>1</x:v>
      </x:c>
      <x:c r="E207" s="7" t="n">
        <x:v>1</x:v>
      </x:c>
      <x:c r="F207" s="6" t="str">
        <x:v>포슬램</x:v>
      </x:c>
    </x:row>
    <x:row r="208" ht="15" hidden="0" customHeight="1">
      <x:c r="A208" s="7" t="n">
        <x:v>1369</x:v>
      </x:c>
      <x:c r="B208" s="6" t="str">
        <x:v>TutorialStarterGrant</x:v>
      </x:c>
      <x:c r="C208" s="6" t="str">
        <x:v>Bronze</x:v>
      </x:c>
      <x:c r="D208" s="7" t="n">
        <x:v>20</x:v>
      </x:c>
      <x:c r="E208" s="7" t="n">
        <x:v>1</x:v>
      </x:c>
      <x:c r="F208" s="6" t="str">
        <x:v>꿀꿀비</x:v>
      </x:c>
    </x:row>
    <x:row r="209" ht="15" hidden="0" customHeight="1">
      <x:c r="A209" s="7" t="n">
        <x:v>1370</x:v>
      </x:c>
      <x:c r="B209" s="6" t="str">
        <x:v>TutorialStarterGrant</x:v>
      </x:c>
      <x:c r="C209" s="6" t="str">
        <x:v>Bronze</x:v>
      </x:c>
      <x:c r="D209" s="7" t="n">
        <x:v>4</x:v>
      </x:c>
      <x:c r="E209" s="7" t="n">
        <x:v>1</x:v>
      </x:c>
      <x:c r="F209" s="6" t="str">
        <x:v>솜구름몽</x:v>
      </x:c>
    </x:row>
    <x:row r="210" ht="15" hidden="0" customHeight="1">
      <x:c r="A210" s="7" t="n">
        <x:v>1371</x:v>
      </x:c>
      <x:c r="B210" s="6" t="str">
        <x:v>TutorialStarterGrant</x:v>
      </x:c>
      <x:c r="C210" s="6" t="str">
        <x:v>Bronze</x:v>
      </x:c>
      <x:c r="D210" s="7" t="n">
        <x:v>15</x:v>
      </x:c>
      <x:c r="E210" s="7" t="n">
        <x:v>1</x:v>
      </x:c>
      <x:c r="F210" s="6" t="str">
        <x:v>물방울룽</x:v>
      </x:c>
    </x:row>
    <x:row r="211" ht="15" hidden="0" customHeight="1">
      <x:c r="A211" s="7" t="n">
        <x:v>1372</x:v>
      </x:c>
      <x:c r="B211" s="6" t="str">
        <x:v>TutorialStarterGrant</x:v>
      </x:c>
      <x:c r="C211" s="6" t="str">
        <x:v>Bronze</x:v>
      </x:c>
      <x:c r="D211" s="7" t="n">
        <x:v>35</x:v>
      </x:c>
      <x:c r="E211" s="7" t="n">
        <x:v>1</x:v>
      </x:c>
      <x:c r="F211" s="6" t="str">
        <x:v>우드혼</x:v>
      </x:c>
    </x:row>
    <x:row r="212" ht="15" hidden="0" customHeight="1">
      <x:c r="A212" s="7" t="n">
        <x:v>1375</x:v>
      </x:c>
      <x:c r="B212" s="6" t="str">
        <x:v>TutorialFirstCard</x:v>
      </x:c>
      <x:c r="C212" s="6" t="str">
        <x:v>Bronze</x:v>
      </x:c>
      <x:c r="D212" s="7" t="n">
        <x:v>2</x:v>
      </x:c>
      <x:c r="E212" s="7" t="n">
        <x:v>1</x:v>
      </x:c>
      <x:c r="F212" s="6" t="str"/>
    </x:row>
    <x:row r="213" ht="15" hidden="0" customHeight="1">
      <x:c r="A213" s="7" t="n">
        <x:v>1376</x:v>
      </x:c>
      <x:c r="B213" s="6" t="str">
        <x:v>NormalPack_TEST</x:v>
      </x:c>
      <x:c r="C213" s="6" t="str">
        <x:v>Bronze</x:v>
      </x:c>
      <x:c r="D213" s="7" t="n">
        <x:v>4</x:v>
      </x:c>
      <x:c r="E213" s="7" t="n">
        <x:v>662</x:v>
      </x:c>
      <x:c r="F213" s="6" t="str">
        <x:v>솜구름몽</x:v>
      </x:c>
    </x:row>
    <x:row r="214" ht="15" hidden="0" customHeight="1">
      <x:c r="A214" s="7" t="n">
        <x:v>1377</x:v>
      </x:c>
      <x:c r="B214" s="6" t="str">
        <x:v>NormalPack_TEST</x:v>
      </x:c>
      <x:c r="C214" s="6" t="str">
        <x:v>Bronze</x:v>
      </x:c>
      <x:c r="D214" s="7" t="n">
        <x:v>9</x:v>
      </x:c>
      <x:c r="E214" s="7" t="n">
        <x:v>662</x:v>
      </x:c>
      <x:c r="F214" s="6" t="str">
        <x:v>버섯냥</x:v>
      </x:c>
    </x:row>
    <x:row r="215" ht="15" hidden="0" customHeight="1">
      <x:c r="A215" s="7" t="n">
        <x:v>1378</x:v>
      </x:c>
      <x:c r="B215" s="6" t="str">
        <x:v>NormalPack_TEST</x:v>
      </x:c>
      <x:c r="C215" s="6" t="str">
        <x:v>Bronze</x:v>
      </x:c>
      <x:c r="D215" s="7" t="n">
        <x:v>13</x:v>
      </x:c>
      <x:c r="E215" s="7" t="n">
        <x:v>400</x:v>
      </x:c>
      <x:c r="F215" s="6" t="str">
        <x:v>늪꾸리</x:v>
      </x:c>
    </x:row>
    <x:row r="216" ht="15" hidden="0" customHeight="1">
      <x:c r="A216" s="7" t="n">
        <x:v>1379</x:v>
      </x:c>
      <x:c r="B216" s="6" t="str">
        <x:v>NormalPack_TEST</x:v>
      </x:c>
      <x:c r="C216" s="6" t="str">
        <x:v>Bronze</x:v>
      </x:c>
      <x:c r="D216" s="7" t="n">
        <x:v>15</x:v>
      </x:c>
      <x:c r="E216" s="7" t="n">
        <x:v>662</x:v>
      </x:c>
      <x:c r="F216" s="6" t="str">
        <x:v>물방울룽</x:v>
      </x:c>
    </x:row>
    <x:row r="217" ht="15" hidden="0" customHeight="1">
      <x:c r="A217" s="7" t="n">
        <x:v>1380</x:v>
      </x:c>
      <x:c r="B217" s="6" t="str">
        <x:v>NormalPack_TEST</x:v>
      </x:c>
      <x:c r="C217" s="6" t="str">
        <x:v>Bronze</x:v>
      </x:c>
      <x:c r="D217" s="7" t="n">
        <x:v>16</x:v>
      </x:c>
      <x:c r="E217" s="7" t="n">
        <x:v>662</x:v>
      </x:c>
      <x:c r="F217" s="6" t="str">
        <x:v>풍선펭</x:v>
      </x:c>
    </x:row>
    <x:row r="218" ht="15" hidden="0" customHeight="1">
      <x:c r="A218" s="7" t="n">
        <x:v>1381</x:v>
      </x:c>
      <x:c r="B218" s="6" t="str">
        <x:v>NormalPack_TEST</x:v>
      </x:c>
      <x:c r="C218" s="6" t="str">
        <x:v>Bronze</x:v>
      </x:c>
      <x:c r="D218" s="7" t="n">
        <x:v>20</x:v>
      </x:c>
      <x:c r="E218" s="7" t="n">
        <x:v>662</x:v>
      </x:c>
      <x:c r="F218" s="6" t="str">
        <x:v>꿀꿀비</x:v>
      </x:c>
    </x:row>
    <x:row r="219" ht="15" hidden="0" customHeight="1">
      <x:c r="A219" s="7" t="n">
        <x:v>1382</x:v>
      </x:c>
      <x:c r="B219" s="6" t="str">
        <x:v>NormalPack_TEST</x:v>
      </x:c>
      <x:c r="C219" s="6" t="str">
        <x:v>Bronze</x:v>
      </x:c>
      <x:c r="D219" s="7" t="n">
        <x:v>35</x:v>
      </x:c>
      <x:c r="E219" s="7" t="n">
        <x:v>662</x:v>
      </x:c>
      <x:c r="F219" s="6" t="str">
        <x:v>문바이트</x:v>
      </x:c>
    </x:row>
    <x:row r="220" ht="15" hidden="0" customHeight="1">
      <x:c r="A220" s="7" t="n">
        <x:v>1383</x:v>
      </x:c>
      <x:c r="B220" s="6" t="str">
        <x:v>NormalPack_TEST</x:v>
      </x:c>
      <x:c r="C220" s="6" t="str">
        <x:v>Silver</x:v>
      </x:c>
      <x:c r="D220" s="7" t="n">
        <x:v>15</x:v>
      </x:c>
      <x:c r="E220" s="7" t="n">
        <x:v>662</x:v>
      </x:c>
      <x:c r="F220" s="6" t="str">
        <x:v>물방울룽</x:v>
      </x:c>
    </x:row>
    <x:row r="221" ht="15" hidden="0" customHeight="1">
      <x:c r="A221" s="7" t="n">
        <x:v>1384</x:v>
      </x:c>
      <x:c r="B221" s="6" t="str">
        <x:v>NormalPack_TEST</x:v>
      </x:c>
      <x:c r="C221" s="6" t="str">
        <x:v>Silver</x:v>
      </x:c>
      <x:c r="D221" s="7" t="n">
        <x:v>16</x:v>
      </x:c>
      <x:c r="E221" s="7" t="n">
        <x:v>662</x:v>
      </x:c>
      <x:c r="F221" s="6" t="str">
        <x:v>풍선펭</x:v>
      </x:c>
    </x:row>
    <x:row r="222" ht="15" hidden="0" customHeight="1">
      <x:c r="A222" s="7" t="n">
        <x:v>1385</x:v>
      </x:c>
      <x:c r="B222" s="6" t="str">
        <x:v>NormalPack_TEST</x:v>
      </x:c>
      <x:c r="C222" s="6" t="str">
        <x:v>Silver</x:v>
      </x:c>
      <x:c r="D222" s="7" t="n">
        <x:v>20</x:v>
      </x:c>
      <x:c r="E222" s="7" t="n">
        <x:v>662</x:v>
      </x:c>
      <x:c r="F222" s="6" t="str">
        <x:v>꿀꿀비</x:v>
      </x:c>
    </x:row>
    <x:row r="223" ht="15" hidden="0" customHeight="1">
      <x:c r="A223" s="7" t="n">
        <x:v>1386</x:v>
      </x:c>
      <x:c r="B223" s="6" t="str">
        <x:v>NormalPack_TEST</x:v>
      </x:c>
      <x:c r="C223" s="6" t="str">
        <x:v>Silver</x:v>
      </x:c>
      <x:c r="D223" s="7" t="n">
        <x:v>35</x:v>
      </x:c>
      <x:c r="E223" s="7" t="n">
        <x:v>662</x:v>
      </x:c>
      <x:c r="F223" s="6" t="str">
        <x:v>문바이트</x:v>
      </x:c>
    </x:row>
    <x:row r="224" ht="15" hidden="0" customHeight="1">
      <x:c r="A224" s="7" t="n">
        <x:v>1387</x:v>
      </x:c>
      <x:c r="B224" s="6" t="str">
        <x:v>NormalPack_TEST</x:v>
      </x:c>
      <x:c r="C224" s="6" t="str">
        <x:v>Gold</x:v>
      </x:c>
      <x:c r="D224" s="7" t="n">
        <x:v>20</x:v>
      </x:c>
      <x:c r="E224" s="7" t="n">
        <x:v>663</x:v>
      </x:c>
      <x:c r="F224" s="6" t="str">
        <x:v>꿀꿀비</x:v>
      </x:c>
    </x:row>
    <x:row r="225" ht="15" hidden="0" customHeight="1">
      <x:c r="A225" s="7" t="n">
        <x:v>1388</x:v>
      </x:c>
      <x:c r="B225" s="6" t="str">
        <x:v>NormalPack_TEST</x:v>
      </x:c>
      <x:c r="C225" s="6" t="str">
        <x:v>Gold</x:v>
      </x:c>
      <x:c r="D225" s="7" t="n">
        <x:v>35</x:v>
      </x:c>
      <x:c r="E225" s="7" t="n">
        <x:v>663</x:v>
      </x:c>
      <x:c r="F225" s="6" t="str">
        <x:v>문바이트</x:v>
      </x:c>
    </x:row>
    <x:row r="226" ht="15" hidden="0" customHeight="1">
      <x:c r="A226" s="7" t="n">
        <x:v>1389</x:v>
      </x:c>
      <x:c r="B226" s="6" t="str">
        <x:v>NormalPack_TEST</x:v>
      </x:c>
      <x:c r="C226" s="6" t="str">
        <x:v>Platinum</x:v>
      </x:c>
      <x:c r="D226" s="7" t="n">
        <x:v>35</x:v>
      </x:c>
      <x:c r="E226" s="7" t="n">
        <x:v>663</x:v>
      </x:c>
      <x:c r="F226" s="6" t="str">
        <x:v>문바이트</x:v>
      </x:c>
    </x:row>
    <x:row r="227" ht="15" hidden="0" customHeight="1">
      <x:c r="A227" s="7" t="n">
        <x:v>1390</x:v>
      </x:c>
      <x:c r="B227" s="6" t="str">
        <x:v>NormalPack_TEST</x:v>
      </x:c>
      <x:c r="C227" s="6" t="str">
        <x:v>Bronze</x:v>
      </x:c>
      <x:c r="D227" s="7" t="n">
        <x:v>12</x:v>
      </x:c>
      <x:c r="E227" s="7" t="n">
        <x:v>9</x:v>
      </x:c>
      <x:c r="F227" s="6" t="str">
        <x:v>대장부리</x:v>
      </x:c>
    </x:row>
    <x:row r="228" ht="15" hidden="0" customHeight="1">
      <x:c r="A228" s="7" t="n">
        <x:v>1391</x:v>
      </x:c>
      <x:c r="B228" s="6" t="str">
        <x:v>NormalPack_TEST</x:v>
      </x:c>
      <x:c r="C228" s="6" t="str">
        <x:v>Bronze</x:v>
      </x:c>
      <x:c r="D228" s="7" t="n">
        <x:v>21</x:v>
      </x:c>
      <x:c r="E228" s="7" t="n">
        <x:v>9</x:v>
      </x:c>
      <x:c r="F228" s="6" t="str">
        <x:v>자석게</x:v>
      </x:c>
    </x:row>
    <x:row r="229" ht="15" hidden="0" customHeight="1">
      <x:c r="A229" s="7" t="n">
        <x:v>1392</x:v>
      </x:c>
      <x:c r="B229" s="6" t="str">
        <x:v>NormalPack_TEST</x:v>
      </x:c>
      <x:c r="C229" s="6" t="str">
        <x:v>Bronze</x:v>
      </x:c>
      <x:c r="D229" s="7" t="n">
        <x:v>31</x:v>
      </x:c>
      <x:c r="E229" s="7" t="n">
        <x:v>8</x:v>
      </x:c>
      <x:c r="F229" s="6" t="str">
        <x:v>크리스탈혼</x:v>
      </x:c>
    </x:row>
    <x:row r="230" ht="15" hidden="0" customHeight="1">
      <x:c r="A230" s="7" t="n">
        <x:v>1393</x:v>
      </x:c>
      <x:c r="B230" s="6" t="str">
        <x:v>NormalPack_TEST</x:v>
      </x:c>
      <x:c r="C230" s="6" t="str">
        <x:v>Bronze</x:v>
      </x:c>
      <x:c r="D230" s="7" t="n">
        <x:v>32</x:v>
      </x:c>
      <x:c r="E230" s="7" t="n">
        <x:v>8</x:v>
      </x:c>
      <x:c r="F230" s="6" t="str">
        <x:v>별꼬리</x:v>
      </x:c>
    </x:row>
    <x:row r="231" ht="15" hidden="0" customHeight="1">
      <x:c r="A231" s="7" t="n">
        <x:v>1394</x:v>
      </x:c>
      <x:c r="B231" s="6" t="str">
        <x:v>NormalPack_TEST</x:v>
      </x:c>
      <x:c r="C231" s="6" t="str">
        <x:v>Bronze</x:v>
      </x:c>
      <x:c r="D231" s="7" t="n">
        <x:v>36</x:v>
      </x:c>
      <x:c r="E231" s="7" t="n">
        <x:v>8</x:v>
      </x:c>
      <x:c r="F231" s="6" t="str">
        <x:v>틱톡곤</x:v>
      </x:c>
    </x:row>
    <x:row r="232" ht="15" hidden="0" customHeight="1">
      <x:c r="A232" s="7" t="n">
        <x:v>1395</x:v>
      </x:c>
      <x:c r="B232" s="6" t="str">
        <x:v>NormalPack_TEST</x:v>
      </x:c>
      <x:c r="C232" s="6" t="str">
        <x:v>Bronze</x:v>
      </x:c>
      <x:c r="D232" s="7" t="n">
        <x:v>38</x:v>
      </x:c>
      <x:c r="E232" s="7" t="n">
        <x:v>8</x:v>
      </x:c>
      <x:c r="F232" s="6" t="str">
        <x:v>크랙몬</x:v>
      </x:c>
    </x:row>
    <x:row r="233" ht="15" hidden="0" customHeight="1">
      <x:c r="A233" s="7" t="n">
        <x:v>1396</x:v>
      </x:c>
      <x:c r="B233" s="6" t="str">
        <x:v>NormalPack_TEST</x:v>
      </x:c>
      <x:c r="C233" s="6" t="str">
        <x:v>Silver</x:v>
      </x:c>
      <x:c r="D233" s="7" t="n">
        <x:v>12</x:v>
      </x:c>
      <x:c r="E233" s="7" t="n">
        <x:v>9</x:v>
      </x:c>
      <x:c r="F233" s="6" t="str">
        <x:v>대장부리</x:v>
      </x:c>
    </x:row>
    <x:row r="234" ht="15" hidden="0" customHeight="1">
      <x:c r="A234" s="7" t="n">
        <x:v>1397</x:v>
      </x:c>
      <x:c r="B234" s="6" t="str">
        <x:v>NormalPack_TEST</x:v>
      </x:c>
      <x:c r="C234" s="6" t="str">
        <x:v>Silver</x:v>
      </x:c>
      <x:c r="D234" s="7" t="n">
        <x:v>21</x:v>
      </x:c>
      <x:c r="E234" s="7" t="n">
        <x:v>9</x:v>
      </x:c>
      <x:c r="F234" s="6" t="str">
        <x:v>자석게</x:v>
      </x:c>
    </x:row>
    <x:row r="235" ht="15" hidden="0" customHeight="1">
      <x:c r="A235" s="7" t="n">
        <x:v>1398</x:v>
      </x:c>
      <x:c r="B235" s="6" t="str">
        <x:v>NormalPack_TEST</x:v>
      </x:c>
      <x:c r="C235" s="6" t="str">
        <x:v>Silver</x:v>
      </x:c>
      <x:c r="D235" s="7" t="n">
        <x:v>31</x:v>
      </x:c>
      <x:c r="E235" s="7" t="n">
        <x:v>8</x:v>
      </x:c>
      <x:c r="F235" s="6" t="str">
        <x:v>크리스탈혼</x:v>
      </x:c>
    </x:row>
    <x:row r="236" ht="15" hidden="0" customHeight="1">
      <x:c r="A236" s="7" t="n">
        <x:v>1399</x:v>
      </x:c>
      <x:c r="B236" s="6" t="str">
        <x:v>NormalPack_TEST</x:v>
      </x:c>
      <x:c r="C236" s="6" t="str">
        <x:v>Silver</x:v>
      </x:c>
      <x:c r="D236" s="7" t="n">
        <x:v>32</x:v>
      </x:c>
      <x:c r="E236" s="7" t="n">
        <x:v>8</x:v>
      </x:c>
      <x:c r="F236" s="6" t="str">
        <x:v>별꼬리</x:v>
      </x:c>
    </x:row>
    <x:row r="237" ht="15" hidden="0" customHeight="1">
      <x:c r="A237" s="7" t="n">
        <x:v>1400</x:v>
      </x:c>
      <x:c r="B237" s="6" t="str">
        <x:v>NormalPack_TEST</x:v>
      </x:c>
      <x:c r="C237" s="6" t="str">
        <x:v>Silver</x:v>
      </x:c>
      <x:c r="D237" s="7" t="n">
        <x:v>36</x:v>
      </x:c>
      <x:c r="E237" s="7" t="n">
        <x:v>8</x:v>
      </x:c>
      <x:c r="F237" s="6" t="str">
        <x:v>틱톡곤</x:v>
      </x:c>
    </x:row>
    <x:row r="238" ht="15" hidden="0" customHeight="1">
      <x:c r="A238" s="7" t="n">
        <x:v>1401</x:v>
      </x:c>
      <x:c r="B238" s="6" t="str">
        <x:v>NormalPack_TEST</x:v>
      </x:c>
      <x:c r="C238" s="6" t="str">
        <x:v>Silver</x:v>
      </x:c>
      <x:c r="D238" s="7" t="n">
        <x:v>38</x:v>
      </x:c>
      <x:c r="E238" s="7" t="n">
        <x:v>8</x:v>
      </x:c>
      <x:c r="F238" s="6" t="str">
        <x:v>크랙몬</x:v>
      </x:c>
    </x:row>
    <x:row r="239" ht="15" hidden="0" customHeight="1">
      <x:c r="A239" s="7" t="n">
        <x:v>1402</x:v>
      </x:c>
      <x:c r="B239" s="6" t="str">
        <x:v>NormalPack_TEST</x:v>
      </x:c>
      <x:c r="C239" s="6" t="str">
        <x:v>Gold</x:v>
      </x:c>
      <x:c r="D239" s="7" t="n">
        <x:v>21</x:v>
      </x:c>
      <x:c r="E239" s="7" t="n">
        <x:v>9</x:v>
      </x:c>
      <x:c r="F239" s="6" t="str">
        <x:v>자석게</x:v>
      </x:c>
    </x:row>
    <x:row r="240" ht="15" hidden="0" customHeight="1">
      <x:c r="A240" s="7" t="n">
        <x:v>1403</x:v>
      </x:c>
      <x:c r="B240" s="6" t="str">
        <x:v>NormalPack_TEST</x:v>
      </x:c>
      <x:c r="C240" s="6" t="str">
        <x:v>Gold</x:v>
      </x:c>
      <x:c r="D240" s="7" t="n">
        <x:v>31</x:v>
      </x:c>
      <x:c r="E240" s="7" t="n">
        <x:v>8</x:v>
      </x:c>
      <x:c r="F240" s="6" t="str">
        <x:v>크리스탈혼</x:v>
      </x:c>
    </x:row>
    <x:row r="241" ht="15" hidden="0" customHeight="1">
      <x:c r="A241" s="7" t="n">
        <x:v>1404</x:v>
      </x:c>
      <x:c r="B241" s="6" t="str">
        <x:v>NormalPack_TEST</x:v>
      </x:c>
      <x:c r="C241" s="6" t="str">
        <x:v>Gold</x:v>
      </x:c>
      <x:c r="D241" s="7" t="n">
        <x:v>32</x:v>
      </x:c>
      <x:c r="E241" s="7" t="n">
        <x:v>8</x:v>
      </x:c>
      <x:c r="F241" s="6" t="str">
        <x:v>별꼬리</x:v>
      </x:c>
    </x:row>
    <x:row r="242" ht="15" hidden="0" customHeight="1">
      <x:c r="A242" s="7" t="n">
        <x:v>1405</x:v>
      </x:c>
      <x:c r="B242" s="6" t="str">
        <x:v>NormalPack_TEST</x:v>
      </x:c>
      <x:c r="C242" s="6" t="str">
        <x:v>Gold</x:v>
      </x:c>
      <x:c r="D242" s="7" t="n">
        <x:v>36</x:v>
      </x:c>
      <x:c r="E242" s="7" t="n">
        <x:v>8</x:v>
      </x:c>
      <x:c r="F242" s="6" t="str">
        <x:v>틱톡곤</x:v>
      </x:c>
    </x:row>
    <x:row r="243" ht="15" hidden="0" customHeight="1">
      <x:c r="A243" s="7" t="n">
        <x:v>1406</x:v>
      </x:c>
      <x:c r="B243" s="6" t="str">
        <x:v>NormalPack_TEST</x:v>
      </x:c>
      <x:c r="C243" s="6" t="str">
        <x:v>Gold</x:v>
      </x:c>
      <x:c r="D243" s="7" t="n">
        <x:v>38</x:v>
      </x:c>
      <x:c r="E243" s="7" t="n">
        <x:v>8</x:v>
      </x:c>
      <x:c r="F243" s="6" t="str">
        <x:v>크랙몬</x:v>
      </x:c>
    </x:row>
    <x:row r="244" ht="15" hidden="0" customHeight="1">
      <x:c r="A244" s="7" t="n">
        <x:v>1407</x:v>
      </x:c>
      <x:c r="B244" s="6" t="str">
        <x:v>NormalPack_TEST</x:v>
      </x:c>
      <x:c r="C244" s="6" t="str">
        <x:v>Platinum</x:v>
      </x:c>
      <x:c r="D244" s="7" t="n">
        <x:v>36</x:v>
      </x:c>
      <x:c r="E244" s="7" t="n">
        <x:v>8</x:v>
      </x:c>
      <x:c r="F244" s="6" t="str">
        <x:v>틱톡곤</x:v>
      </x:c>
    </x:row>
    <x:row r="245" ht="15" hidden="0" customHeight="1">
      <x:c r="A245" s="7" t="n">
        <x:v>1408</x:v>
      </x:c>
      <x:c r="B245" s="6" t="str">
        <x:v>NormalPack_TEST</x:v>
      </x:c>
      <x:c r="C245" s="6" t="str">
        <x:v>Platinum</x:v>
      </x:c>
      <x:c r="D245" s="7" t="n">
        <x:v>38</x:v>
      </x:c>
      <x:c r="E245" s="7" t="n">
        <x:v>8</x:v>
      </x:c>
      <x:c r="F245" s="6" t="str">
        <x:v>크랙몬</x:v>
      </x:c>
    </x:row>
    <x:row r="248">
      <x:c r="A248" t="str">
        <x:v>출처: docs/SpecData/CardPackDrop_sheet.csv / 2026-09-18 로컬 스냅샷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6" hidden="0" customWidth="1"/>
  </x:cols>
  <x:sheetData>
    <x:row r="1" ht="44" customHeight="1">
      <x:c r="A1" s="5" t="str">
        <x:v>id</x:v>
      </x:c>
      <x:c r="B1" s="5" t="str">
        <x:v>packId</x:v>
      </x:c>
      <x:c r="C1" s="5" t="str">
        <x:v>displayName</x:v>
      </x:c>
      <x:c r="D1" s="5" t="str">
        <x:v>channel</x:v>
      </x:c>
      <x:c r="E1" s="5" t="str">
        <x:v>priceType</x:v>
      </x:c>
      <x:c r="F1" s="5" t="str">
        <x:v>price</x:v>
      </x:c>
      <x:c r="G1" s="5" t="str">
        <x:v>drawCount</x:v>
      </x:c>
      <x:c r="H1" s="5" t="str">
        <x:v>uniqueDraw</x:v>
      </x:c>
      <x:c r="I1" s="5" t="str">
        <x:v>refundType</x:v>
      </x:c>
      <x:c r="J1" s="5" t="str">
        <x:v>refundAmount</x:v>
      </x:c>
      <x:c r="K1" s="5" t="str">
        <x:v>minRankGrade</x:v>
      </x:c>
      <x:c r="L1" s="5" t="str">
        <x:v>sortOrder</x:v>
      </x:c>
      <x:c r="M1" s="5" t="str">
        <x:v>artKey</x:v>
      </x:c>
    </x:row>
    <x:row r="2" ht="15" hidden="0" customHeight="1">
      <x:c r="A2" s="7" t="n">
        <x:v>1</x:v>
      </x:c>
      <x:c r="B2" s="6" t="str">
        <x:v>NormalPack_TEST</x:v>
      </x:c>
      <x:c r="C2" s="6" t="str">
        <x:v>일반 팩</x:v>
      </x:c>
      <x:c r="D2" s="6" t="str">
        <x:v>Live</x:v>
      </x:c>
      <x:c r="E2" s="6" t="str">
        <x:v>Gold</x:v>
      </x:c>
      <x:c r="F2" s="7" t="n">
        <x:v>220</x:v>
      </x:c>
      <x:c r="G2" s="7" t="n">
        <x:v>3</x:v>
      </x:c>
      <x:c r="H2" s="7" t="n">
        <x:v>0</x:v>
      </x:c>
      <x:c r="I2" s="6" t="str">
        <x:v>Shard</x:v>
      </x:c>
      <x:c r="J2" s="7" t="n">
        <x:v>0</x:v>
      </x:c>
      <x:c r="K2" s="6" t="str"/>
      <x:c r="L2" s="7" t="n">
        <x:v>1</x:v>
      </x:c>
      <x:c r="M2" s="6" t="str">
        <x:v>NormalPack</x:v>
      </x:c>
    </x:row>
    <x:row r="3" ht="15" hidden="0" customHeight="1">
      <x:c r="A3" s="7" t="n">
        <x:v>3</x:v>
      </x:c>
      <x:c r="B3" s="6" t="str">
        <x:v>UltraPack</x:v>
      </x:c>
      <x:c r="C3" s="6" t="str">
        <x:v>울트라 팩</x:v>
      </x:c>
      <x:c r="D3" s="6" t="str">
        <x:v>Live</x:v>
      </x:c>
      <x:c r="E3" s="6" t="str">
        <x:v>Diamond</x:v>
      </x:c>
      <x:c r="F3" s="7" t="n">
        <x:v>30</x:v>
      </x:c>
      <x:c r="G3" s="7" t="n">
        <x:v>3</x:v>
      </x:c>
      <x:c r="H3" s="7" t="n">
        <x:v>1</x:v>
      </x:c>
      <x:c r="I3" s="6" t="str">
        <x:v>Shard</x:v>
      </x:c>
      <x:c r="J3" s="7" t="n">
        <x:v>0</x:v>
      </x:c>
      <x:c r="K3" s="6" t="str"/>
      <x:c r="L3" s="7" t="n">
        <x:v>0</x:v>
      </x:c>
      <x:c r="M3" s="6" t="str">
        <x:v>UltraPack</x:v>
      </x:c>
    </x:row>
    <x:row r="4" ht="15" hidden="0" customHeight="1">
      <x:c r="A4" s="7" t="n">
        <x:v>4</x:v>
      </x:c>
      <x:c r="B4" s="6" t="str">
        <x:v>KeywordDeck</x:v>
      </x:c>
      <x:c r="C4" s="6" t="str">
        <x:v>키워드덱</x:v>
      </x:c>
      <x:c r="D4" s="6" t="str">
        <x:v>Live</x:v>
      </x:c>
      <x:c r="E4" s="6" t="str">
        <x:v>Gold</x:v>
      </x:c>
      <x:c r="F4" s="7" t="n">
        <x:v>0</x:v>
      </x:c>
      <x:c r="G4" s="7" t="n">
        <x:v>3</x:v>
      </x:c>
      <x:c r="H4" s="7" t="n">
        <x:v>1</x:v>
      </x:c>
      <x:c r="I4" s="6" t="str">
        <x:v>Shard</x:v>
      </x:c>
      <x:c r="J4" s="7" t="n">
        <x:v>0</x:v>
      </x:c>
      <x:c r="K4" s="6" t="str"/>
      <x:c r="L4" s="7" t="n">
        <x:v>0</x:v>
      </x:c>
      <x:c r="M4" s="6" t="str">
        <x:v>TutorialPack</x:v>
      </x:c>
    </x:row>
    <x:row r="5" ht="15" hidden="0" customHeight="1">
      <x:c r="A5" s="7" t="n">
        <x:v>5</x:v>
      </x:c>
      <x:c r="B5" s="6" t="str">
        <x:v>StarterPack</x:v>
      </x:c>
      <x:c r="C5" s="6" t="str">
        <x:v>스타터팩</x:v>
      </x:c>
      <x:c r="D5" s="6" t="str">
        <x:v>Live</x:v>
      </x:c>
      <x:c r="E5" s="6" t="str">
        <x:v>Gold</x:v>
      </x:c>
      <x:c r="F5" s="7" t="n">
        <x:v>0</x:v>
      </x:c>
      <x:c r="G5" s="7" t="n">
        <x:v>6</x:v>
      </x:c>
      <x:c r="H5" s="7" t="n">
        <x:v>1</x:v>
      </x:c>
      <x:c r="I5" s="6" t="str">
        <x:v>Shard</x:v>
      </x:c>
      <x:c r="J5" s="7" t="n">
        <x:v>0</x:v>
      </x:c>
      <x:c r="K5" s="6" t="str"/>
      <x:c r="L5" s="7" t="n">
        <x:v>0</x:v>
      </x:c>
      <x:c r="M5" s="6" t="str">
        <x:v>TutorialPack</x:v>
      </x:c>
    </x:row>
    <x:row r="6" ht="15" hidden="0" customHeight="1">
      <x:c r="A6" s="7" t="n">
        <x:v>6</x:v>
      </x:c>
      <x:c r="B6" s="6" t="str">
        <x:v>SynergyPack</x:v>
      </x:c>
      <x:c r="C6" s="6" t="str">
        <x:v>시너지팩</x:v>
      </x:c>
      <x:c r="D6" s="6" t="str">
        <x:v>Live</x:v>
      </x:c>
      <x:c r="E6" s="6" t="str">
        <x:v>Gold</x:v>
      </x:c>
      <x:c r="F6" s="7" t="n">
        <x:v>0</x:v>
      </x:c>
      <x:c r="G6" s="7" t="n">
        <x:v>6</x:v>
      </x:c>
      <x:c r="H6" s="7" t="n">
        <x:v>1</x:v>
      </x:c>
      <x:c r="I6" s="6" t="str">
        <x:v>Shard</x:v>
      </x:c>
      <x:c r="J6" s="7" t="n">
        <x:v>0</x:v>
      </x:c>
      <x:c r="K6" s="6" t="str"/>
      <x:c r="L6" s="7" t="n">
        <x:v>0</x:v>
      </x:c>
      <x:c r="M6" s="6" t="str">
        <x:v>TutorialPack</x:v>
      </x:c>
    </x:row>
    <x:row r="7" ht="15" hidden="0" customHeight="1">
      <x:c r="A7" s="7" t="n">
        <x:v>7</x:v>
      </x:c>
      <x:c r="B7" s="6" t="str">
        <x:v>HuntingBrandPack</x:v>
      </x:c>
      <x:c r="C7" s="6" t="str">
        <x:v>낙인의 비늘</x:v>
      </x:c>
      <x:c r="D7" s="6" t="str">
        <x:v>Live</x:v>
      </x:c>
      <x:c r="E7" s="6" t="str">
        <x:v>Diamond</x:v>
      </x:c>
      <x:c r="F7" s="7" t="n">
        <x:v>30</x:v>
      </x:c>
      <x:c r="G7" s="7" t="n">
        <x:v>3</x:v>
      </x:c>
      <x:c r="H7" s="7" t="n">
        <x:v>0</x:v>
      </x:c>
      <x:c r="I7" s="6" t="str">
        <x:v>Shard</x:v>
      </x:c>
      <x:c r="J7" s="7" t="n">
        <x:v>0</x:v>
      </x:c>
      <x:c r="K7" s="6" t="str">
        <x:v>Platinum</x:v>
      </x:c>
      <x:c r="L7" s="7" t="n">
        <x:v>3</x:v>
      </x:c>
      <x:c r="M7" s="6" t="str">
        <x:v>UltraPack</x:v>
      </x:c>
    </x:row>
    <x:row r="8" ht="15" hidden="0" customHeight="1">
      <x:c r="A8" s="7" t="n">
        <x:v>8</x:v>
      </x:c>
      <x:c r="B8" s="6" t="str">
        <x:v>ImmortalLegacyPack</x:v>
      </x:c>
      <x:c r="C8" s="6" t="str">
        <x:v>불멸의 유산</x:v>
      </x:c>
      <x:c r="D8" s="6" t="str">
        <x:v>Live</x:v>
      </x:c>
      <x:c r="E8" s="6" t="str">
        <x:v>Diamond</x:v>
      </x:c>
      <x:c r="F8" s="7" t="n">
        <x:v>30</x:v>
      </x:c>
      <x:c r="G8" s="7" t="n">
        <x:v>3</x:v>
      </x:c>
      <x:c r="H8" s="7" t="n">
        <x:v>0</x:v>
      </x:c>
      <x:c r="I8" s="6" t="str">
        <x:v>Shard</x:v>
      </x:c>
      <x:c r="J8" s="7" t="n">
        <x:v>0</x:v>
      </x:c>
      <x:c r="K8" s="6" t="str">
        <x:v>Diamond</x:v>
      </x:c>
      <x:c r="L8" s="7" t="n">
        <x:v>4</x:v>
      </x:c>
      <x:c r="M8" s="6" t="str">
        <x:v>UltraPack</x:v>
      </x:c>
    </x:row>
    <x:row r="9" ht="15" hidden="0" customHeight="1">
      <x:c r="A9" s="7" t="n">
        <x:v>9</x:v>
      </x:c>
      <x:c r="B9" s="6" t="str">
        <x:v>IronArmorPack</x:v>
      </x:c>
      <x:c r="C9" s="6" t="str">
        <x:v>수호의 정원</x:v>
      </x:c>
      <x:c r="D9" s="6" t="str">
        <x:v>Live</x:v>
      </x:c>
      <x:c r="E9" s="6" t="str">
        <x:v>Diamond</x:v>
      </x:c>
      <x:c r="F9" s="7" t="n">
        <x:v>30</x:v>
      </x:c>
      <x:c r="G9" s="7" t="n">
        <x:v>3</x:v>
      </x:c>
      <x:c r="H9" s="7" t="n">
        <x:v>0</x:v>
      </x:c>
      <x:c r="I9" s="6" t="str">
        <x:v>Shard</x:v>
      </x:c>
      <x:c r="J9" s="7" t="n">
        <x:v>0</x:v>
      </x:c>
      <x:c r="K9" s="6" t="str">
        <x:v>Silver</x:v>
      </x:c>
      <x:c r="L9" s="7" t="n">
        <x:v>5</x:v>
      </x:c>
      <x:c r="M9" s="6" t="str">
        <x:v>UltraPack</x:v>
      </x:c>
    </x:row>
    <x:row r="10" ht="15" hidden="0" customHeight="1">
      <x:c r="A10" s="7" t="n">
        <x:v>10</x:v>
      </x:c>
      <x:c r="B10" s="6" t="str">
        <x:v>GiantsGardenPack</x:v>
      </x:c>
      <x:c r="C10" s="6" t="str">
        <x:v>거인의 사냥</x:v>
      </x:c>
      <x:c r="D10" s="6" t="str">
        <x:v>Live</x:v>
      </x:c>
      <x:c r="E10" s="6" t="str">
        <x:v>Diamond</x:v>
      </x:c>
      <x:c r="F10" s="7" t="n">
        <x:v>30</x:v>
      </x:c>
      <x:c r="G10" s="7" t="n">
        <x:v>3</x:v>
      </x:c>
      <x:c r="H10" s="7" t="n">
        <x:v>0</x:v>
      </x:c>
      <x:c r="I10" s="6" t="str">
        <x:v>Shard</x:v>
      </x:c>
      <x:c r="J10" s="7" t="n">
        <x:v>0</x:v>
      </x:c>
      <x:c r="K10" s="6" t="str">
        <x:v>Gold</x:v>
      </x:c>
      <x:c r="L10" s="7" t="n">
        <x:v>6</x:v>
      </x:c>
      <x:c r="M10" s="6" t="str">
        <x:v>UltraPack</x:v>
      </x:c>
    </x:row>
    <x:row r="11" ht="15" hidden="0" customHeight="1">
      <x:c r="A11" s="7" t="n">
        <x:v>11</x:v>
      </x:c>
      <x:c r="B11" s="6" t="str">
        <x:v>ElementalFlowPack</x:v>
      </x:c>
      <x:c r="C11" s="6" t="str">
        <x:v>원소의 흐름</x:v>
      </x:c>
      <x:c r="D11" s="6" t="str">
        <x:v>Live</x:v>
      </x:c>
      <x:c r="E11" s="6" t="str">
        <x:v>Diamond</x:v>
      </x:c>
      <x:c r="F11" s="7" t="n">
        <x:v>30</x:v>
      </x:c>
      <x:c r="G11" s="7" t="n">
        <x:v>3</x:v>
      </x:c>
      <x:c r="H11" s="7" t="n">
        <x:v>0</x:v>
      </x:c>
      <x:c r="I11" s="6" t="str">
        <x:v>Shard</x:v>
      </x:c>
      <x:c r="J11" s="7" t="n">
        <x:v>0</x:v>
      </x:c>
      <x:c r="K11" s="6" t="str">
        <x:v>Bronze</x:v>
      </x:c>
      <x:c r="L11" s="7" t="n">
        <x:v>7</x:v>
      </x:c>
      <x:c r="M11" s="6" t="str">
        <x:v>UltraPack</x:v>
      </x:c>
    </x:row>
    <x:row r="12" ht="15" hidden="0" customHeight="1">
      <x:c r="A12" s="7" t="n">
        <x:v>12</x:v>
      </x:c>
      <x:c r="B12" s="6" t="str">
        <x:v>RangePack</x:v>
      </x:c>
      <x:c r="C12" s="6" t="str">
        <x:v>원거리덱</x:v>
      </x:c>
      <x:c r="D12" s="6" t="str">
        <x:v>Live</x:v>
      </x:c>
      <x:c r="E12" s="6" t="str">
        <x:v>Gold</x:v>
      </x:c>
      <x:c r="F12" s="7" t="n">
        <x:v>0</x:v>
      </x:c>
      <x:c r="G12" s="7" t="n">
        <x:v>6</x:v>
      </x:c>
      <x:c r="H12" s="7" t="n">
        <x:v>1</x:v>
      </x:c>
      <x:c r="I12" s="6" t="str">
        <x:v>Shard</x:v>
      </x:c>
      <x:c r="J12" s="7" t="n">
        <x:v>0</x:v>
      </x:c>
      <x:c r="K12" s="6" t="str"/>
      <x:c r="L12" s="7" t="n">
        <x:v>0</x:v>
      </x:c>
      <x:c r="M12" s="6" t="str">
        <x:v>TutorialPack</x:v>
      </x:c>
    </x:row>
    <x:row r="13" ht="15" hidden="0" customHeight="1">
      <x:c r="A13" s="7" t="n">
        <x:v>13</x:v>
      </x:c>
      <x:c r="B13" s="6" t="str">
        <x:v>TutorialStarterGrant</x:v>
      </x:c>
      <x:c r="C13" s="6" t="str">
        <x:v>튜토리얼 스타터 지급</x:v>
      </x:c>
      <x:c r="D13" s="6" t="str">
        <x:v>Live</x:v>
      </x:c>
      <x:c r="E13" s="6" t="str">
        <x:v>Gold</x:v>
      </x:c>
      <x:c r="F13" s="7" t="n">
        <x:v>0</x:v>
      </x:c>
      <x:c r="G13" s="7" t="n">
        <x:v>5</x:v>
      </x:c>
      <x:c r="H13" s="7" t="n">
        <x:v>1</x:v>
      </x:c>
      <x:c r="I13" s="6" t="str">
        <x:v>Shard</x:v>
      </x:c>
      <x:c r="J13" s="7" t="n">
        <x:v>0</x:v>
      </x:c>
      <x:c r="K13" s="6" t="str"/>
      <x:c r="L13" s="7" t="n">
        <x:v>0</x:v>
      </x:c>
      <x:c r="M13" s="6" t="str">
        <x:v>TutorialPack</x:v>
      </x:c>
    </x:row>
    <x:row r="14" ht="15" hidden="0" customHeight="1">
      <x:c r="A14" s="7" t="n">
        <x:v>14</x:v>
      </x:c>
      <x:c r="B14" s="6" t="str">
        <x:v>TutorialFirstCard</x:v>
      </x:c>
      <x:c r="C14" s="6" t="str">
        <x:v>튜토리얼 첫 카드</x:v>
      </x:c>
      <x:c r="D14" s="6" t="str">
        <x:v>Live</x:v>
      </x:c>
      <x:c r="E14" s="6" t="str">
        <x:v>Gold</x:v>
      </x:c>
      <x:c r="F14" s="7" t="n">
        <x:v>0</x:v>
      </x:c>
      <x:c r="G14" s="7" t="n">
        <x:v>1</x:v>
      </x:c>
      <x:c r="H14" s="7" t="n">
        <x:v>1</x:v>
      </x:c>
      <x:c r="I14" s="6" t="str">
        <x:v>Shard</x:v>
      </x:c>
      <x:c r="J14" s="7" t="n">
        <x:v>0</x:v>
      </x:c>
      <x:c r="K14" s="6" t="str"/>
      <x:c r="L14" s="7" t="n">
        <x:v>0</x:v>
      </x:c>
      <x:c r="M14" s="6" t="str">
        <x:v>TutorialPack</x:v>
      </x:c>
    </x:row>
    <x:row r="17">
      <x:c r="A17" t="str">
        <x:v>출처: docs/SpecData/CardPack_sheet.csv / 2026-09-18 로컬 스냅샷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52" hidden="0" customWidth="1"/>
    <x:col min="14" max="14" width="15" hidden="0" customWidth="1"/>
  </x:cols>
  <x:sheetData>
    <x:row r="1" ht="44" customHeight="1">
      <x:c r="A1" s="5" t="str">
        <x:v>id</x:v>
      </x:c>
      <x:c r="B1" s="5" t="str">
        <x:v>name</x:v>
      </x:c>
      <x:c r="C1" s="5" t="str">
        <x:v>displayName</x:v>
      </x:c>
      <x:c r="D1" s="5" t="str">
        <x:v>channel</x:v>
      </x:c>
      <x:c r="E1" s="5" t="str">
        <x:v>maxHp</x:v>
      </x:c>
      <x:c r="F1" s="5" t="str">
        <x:v>keywords</x:v>
      </x:c>
      <x:c r="G1" s="5" t="str">
        <x:v>keywordUnlockLevel</x:v>
      </x:c>
      <x:c r="H1" s="5" t="str">
        <x:v>synergies</x:v>
      </x:c>
      <x:c r="I1" s="5" t="str">
        <x:v>defaultEvolutionStage</x:v>
      </x:c>
      <x:c r="J1" s="5" t="str">
        <x:v>hp2</x:v>
      </x:c>
      <x:c r="K1" s="5" t="str">
        <x:v>hp3</x:v>
      </x:c>
      <x:c r="L1" s="5" t="str">
        <x:v>hp4</x:v>
      </x:c>
      <x:c r="M1" s="5" t="str">
        <x:v>cardExplain</x:v>
      </x:c>
      <x:c r="N1" s="5" t="str">
        <x:v>grade</x:v>
      </x:c>
    </x:row>
    <x:row r="2" ht="24" hidden="0" customHeight="1">
      <x:c r="A2" s="7" t="n">
        <x:v>1</x:v>
      </x:c>
      <x:c r="B2" s="6" t="str">
        <x:v>Data_Card_Poslamb</x:v>
      </x:c>
      <x:c r="C2" s="6" t="str">
        <x:v>포슬램</x:v>
      </x:c>
      <x:c r="D2" s="6" t="str">
        <x:v>Live</x:v>
      </x:c>
      <x:c r="E2" s="7" t="n">
        <x:v>3</x:v>
      </x:c>
      <x:c r="F2" s="6" t="str">
        <x:v>Healer</x:v>
      </x:c>
      <x:c r="G2" s="7" t="n">
        <x:v>2</x:v>
      </x:c>
      <x:c r="H2" s="6" t="str">
        <x:v>Data_Synergy_Caretaker</x:v>
      </x:c>
      <x:c r="I2" s="7" t="n">
        <x:v>0</x:v>
      </x:c>
      <x:c r="J2" s="7" t="n">
        <x:v>1</x:v>
      </x:c>
      <x:c r="K2" s="7" t="n">
        <x:v>2</x:v>
      </x:c>
      <x:c r="L2" s="7" t="n">
        <x:v>8</x:v>
      </x:c>
      <x:c r="M2" s="6" t="str">
        <x:v>머리의 잎사귀 털로 밭을 가꾸는 평화주의자. 다만 잡초를 발견하면 양답지 않게 눈빛이 매서워진다.</x:v>
      </x:c>
      <x:c r="N2" s="6" t="str">
        <x:v>Common</x:v>
      </x:c>
    </x:row>
    <x:row r="3" ht="24" hidden="0" customHeight="1">
      <x:c r="A3" s="7" t="n">
        <x:v>2</x:v>
      </x:c>
      <x:c r="B3" s="6" t="str">
        <x:v>Data_Card_Waveri</x:v>
      </x:c>
      <x:c r="C3" s="6" t="str">
        <x:v>파도리</x:v>
      </x:c>
      <x:c r="D3" s="6" t="str">
        <x:v>Live</x:v>
      </x:c>
      <x:c r="E3" s="7" t="n">
        <x:v>3</x:v>
      </x:c>
      <x:c r="F3" s="6" t="str">
        <x:v>Ranged</x:v>
      </x:c>
      <x:c r="G3" s="7" t="n">
        <x:v>0</x:v>
      </x:c>
      <x:c r="H3" s="6" t="str">
        <x:v>Data_Synergy_Caretaker</x:v>
      </x:c>
      <x:c r="I3" s="7" t="n">
        <x:v>0</x:v>
      </x:c>
      <x:c r="J3" s="7" t="n">
        <x:v>2</x:v>
      </x:c>
      <x:c r="K3" s="7" t="n">
        <x:v>2</x:v>
      </x:c>
      <x:c r="L3" s="7" t="n">
        <x:v>7</x:v>
      </x:c>
      <x:c r="M3" s="6" t="str">
        <x:v>파도 위를 누구보다 빠르게 달리는 구조대원. 구조가 끝나면 꼭 한 번은 멋진 턴을 보여줘야 직성이 풀린다.</x:v>
      </x:c>
      <x:c r="N3" s="6" t="str">
        <x:v>Common</x:v>
      </x:c>
    </x:row>
    <x:row r="4" ht="24" hidden="0" customHeight="1">
      <x:c r="A4" s="7" t="n">
        <x:v>3</x:v>
      </x:c>
      <x:c r="B4" s="6" t="str">
        <x:v>Data_Card_Startori</x:v>
      </x:c>
      <x:c r="C4" s="6" t="str">
        <x:v>별토리</x:v>
      </x:c>
      <x:c r="D4" s="6" t="str">
        <x:v>Live</x:v>
      </x:c>
      <x:c r="E4" s="7" t="n">
        <x:v>3</x:v>
      </x:c>
      <x:c r="F4" s="6" t="str">
        <x:v>Healer</x:v>
      </x:c>
      <x:c r="G4" s="7" t="n">
        <x:v>0</x:v>
      </x:c>
      <x:c r="H4" s="6" t="str">
        <x:v>Data_Synergy_Caretaker</x:v>
      </x:c>
      <x:c r="I4" s="7" t="n">
        <x:v>0</x:v>
      </x:c>
      <x:c r="J4" s="7" t="n">
        <x:v>2</x:v>
      </x:c>
      <x:c r="K4" s="7" t="n">
        <x:v>1</x:v>
      </x:c>
      <x:c r="L4" s="7" t="n">
        <x:v>7</x:v>
      </x:c>
      <x:c r="M4" s="6" t="str">
        <x:v>별빛으로 아군의 사기를 올리는 토끼. 응원은 눈부시지만 밤에 몰래 다가가는 임무에는 절대 못 쓴다.</x:v>
      </x:c>
      <x:c r="N4" s="6" t="str">
        <x:v>Common</x:v>
      </x:c>
    </x:row>
    <x:row r="5" ht="24" hidden="0" customHeight="1">
      <x:c r="A5" s="7" t="n">
        <x:v>4</x:v>
      </x:c>
      <x:c r="B5" s="6" t="str">
        <x:v>Data_Card_Cloudmong</x:v>
      </x:c>
      <x:c r="C5" s="6" t="str">
        <x:v>솜구름몽</x:v>
      </x:c>
      <x:c r="D5" s="6" t="str">
        <x:v>Live</x:v>
      </x:c>
      <x:c r="E5" s="7" t="n">
        <x:v>5</x:v>
      </x:c>
      <x:c r="F5" s="6" t="str"/>
      <x:c r="G5" s="7" t="n">
        <x:v>0</x:v>
      </x:c>
      <x:c r="H5" s="6" t="str">
        <x:v>Data_Synergy_Caretaker</x:v>
      </x:c>
      <x:c r="I5" s="7" t="n">
        <x:v>0</x:v>
      </x:c>
      <x:c r="J5" s="7" t="n">
        <x:v>2</x:v>
      </x:c>
      <x:c r="K5" s="7" t="n">
        <x:v>2</x:v>
      </x:c>
      <x:c r="L5" s="7" t="n">
        <x:v>9</x:v>
      </x:c>
      <x:c r="M5" s="6" t="str">
        <x:v>무거운 짐도 구름처럼 가볍게 나른다. 단, 바람 센 날에는 배송지가 조금 달라질 수 있다.</x:v>
      </x:c>
      <x:c r="N5" s="6" t="str">
        <x:v>Common</x:v>
      </x:c>
    </x:row>
    <x:row r="6" ht="24" hidden="0" customHeight="1">
      <x:c r="A6" s="7" t="n">
        <x:v>5</x:v>
      </x:c>
      <x:c r="B6" s="6" t="str">
        <x:v>Data_Card_IronMongchi</x:v>
      </x:c>
      <x:c r="C6" s="6" t="str">
        <x:v>철갑몽치</x:v>
      </x:c>
      <x:c r="D6" s="6" t="str">
        <x:v>Live</x:v>
      </x:c>
      <x:c r="E6" s="7" t="n">
        <x:v>5</x:v>
      </x:c>
      <x:c r="F6" s="6" t="str">
        <x:v>Taunt</x:v>
      </x:c>
      <x:c r="G6" s="7" t="n">
        <x:v>0</x:v>
      </x:c>
      <x:c r="H6" s="6" t="str">
        <x:v>Data_Synergy_Scale</x:v>
      </x:c>
      <x:c r="I6" s="7" t="n">
        <x:v>0</x:v>
      </x:c>
      <x:c r="J6" s="7" t="n">
        <x:v>2</x:v>
      </x:c>
      <x:c r="K6" s="7" t="n">
        <x:v>2</x:v>
      </x:c>
      <x:c r="L6" s="7" t="n">
        <x:v>11</x:v>
      </x:c>
      <x:c r="M6" s="6" t="str">
        <x:v>철갑 등껍질로 모두를 지키는 든든한 탱커. 문이 좁으면 전투보다 입장이 더 오래 걸린다.</x:v>
      </x:c>
      <x:c r="N6" s="6" t="str">
        <x:v>Rare</x:v>
      </x:c>
    </x:row>
    <x:row r="7" ht="24" hidden="0" customHeight="1">
      <x:c r="A7" s="7" t="n">
        <x:v>6</x:v>
      </x:c>
      <x:c r="B7" s="6" t="str">
        <x:v>Data_Card_Rockbean</x:v>
      </x:c>
      <x:c r="C7" s="6" t="str">
        <x:v>바위콩</x:v>
      </x:c>
      <x:c r="D7" s="6" t="str">
        <x:v>Live</x:v>
      </x:c>
      <x:c r="E7" s="7" t="n">
        <x:v>6</x:v>
      </x:c>
      <x:c r="F7" s="6" t="str"/>
      <x:c r="G7" s="7" t="n">
        <x:v>0</x:v>
      </x:c>
      <x:c r="H7" s="6" t="str">
        <x:v>Data_Synergy_Bulk</x:v>
      </x:c>
      <x:c r="I7" s="7" t="n">
        <x:v>0</x:v>
      </x:c>
      <x:c r="J7" s="7" t="n">
        <x:v>2</x:v>
      </x:c>
      <x:c r="K7" s="7" t="n">
        <x:v>2</x:v>
      </x:c>
      <x:c r="L7" s="7" t="n">
        <x:v>10</x:v>
      </x:c>
      <x:c r="M7" s="6" t="str">
        <x:v>위험하면 동그랗게 말아 완벽한 돌이 된다. 너무 완벽해서 동료들이 가끔 광물로 착각한다.</x:v>
      </x:c>
      <x:c r="N7" s="6" t="str">
        <x:v>Rare</x:v>
      </x:c>
    </x:row>
    <x:row r="8" ht="24" hidden="0" customHeight="1">
      <x:c r="A8" s="7" t="n">
        <x:v>7</x:v>
      </x:c>
      <x:c r="B8" s="6" t="str">
        <x:v>Data_Card_KingChestnutHedgehog</x:v>
      </x:c>
      <x:c r="C8" s="6" t="str">
        <x:v>왕밤도치</x:v>
      </x:c>
      <x:c r="D8" s="6" t="str">
        <x:v>Live</x:v>
      </x:c>
      <x:c r="E8" s="7" t="n">
        <x:v>6</x:v>
      </x:c>
      <x:c r="F8" s="6" t="str">
        <x:v>Taunt</x:v>
      </x:c>
      <x:c r="G8" s="7" t="n">
        <x:v>2</x:v>
      </x:c>
      <x:c r="H8" s="6" t="str">
        <x:v>Data_Synergy_Legacy</x:v>
      </x:c>
      <x:c r="I8" s="7" t="n">
        <x:v>0</x:v>
      </x:c>
      <x:c r="J8" s="7" t="n">
        <x:v>1</x:v>
      </x:c>
      <x:c r="K8" s="7" t="n">
        <x:v>2</x:v>
      </x:c>
      <x:c r="L8" s="7" t="n">
        <x:v>10</x:v>
      </x:c>
      <x:c r="M8" s="6" t="str">
        <x:v>밤송이 갑옷을 입고 농장을 지키는 거대한 고슴도치. 구르기 한 번이면 적도 수확물도 함께 사라진다.</x:v>
      </x:c>
      <x:c r="N8" s="6" t="str">
        <x:v>Rare</x:v>
      </x:c>
    </x:row>
    <x:row r="9" ht="24" hidden="0" customHeight="1">
      <x:c r="A9" s="7" t="n">
        <x:v>8</x:v>
      </x:c>
      <x:c r="B9" s="6" t="str">
        <x:v>Data_Card_Nightchestnut</x:v>
      </x:c>
      <x:c r="C9" s="6" t="str">
        <x:v>깜밤이</x:v>
      </x:c>
      <x:c r="D9" s="6" t="str">
        <x:v>Live</x:v>
      </x:c>
      <x:c r="E9" s="7" t="n">
        <x:v>5</x:v>
      </x:c>
      <x:c r="F9" s="6" t="str">
        <x:v>Taunt</x:v>
      </x:c>
      <x:c r="G9" s="7" t="n">
        <x:v>2</x:v>
      </x:c>
      <x:c r="H9" s="6" t="str">
        <x:v>Data_Synergy_Trace</x:v>
      </x:c>
      <x:c r="I9" s="7" t="n">
        <x:v>0</x:v>
      </x:c>
      <x:c r="J9" s="7" t="n">
        <x:v>1</x:v>
      </x:c>
      <x:c r="K9" s="7" t="n">
        <x:v>2</x:v>
      </x:c>
      <x:c r="L9" s="7" t="n">
        <x:v>10</x:v>
      </x:c>
      <x:c r="M9" s="6" t="str">
        <x:v>밤길 안내를 맡은 올빼미 정찰병. 정작 낮 회의에서는 망토 속에서 꾸벅꾸벅 졸고 있다.</x:v>
      </x:c>
      <x:c r="N9" s="6" t="str">
        <x:v>Rare</x:v>
      </x:c>
    </x:row>
    <x:row r="10" ht="24" hidden="0" customHeight="1">
      <x:c r="A10" s="7" t="n">
        <x:v>9</x:v>
      </x:c>
      <x:c r="B10" s="6" t="str">
        <x:v>Data_Card_MushroomCat</x:v>
      </x:c>
      <x:c r="C10" s="6" t="str">
        <x:v>버섯냥</x:v>
      </x:c>
      <x:c r="D10" s="6" t="str">
        <x:v>Live</x:v>
      </x:c>
      <x:c r="E10" s="7" t="n">
        <x:v>3</x:v>
      </x:c>
      <x:c r="F10" s="6" t="str">
        <x:v>Ranged</x:v>
      </x:c>
      <x:c r="G10" s="7" t="n">
        <x:v>2</x:v>
      </x:c>
      <x:c r="H10" s="6" t="str">
        <x:v>Data_Synergy_Trace</x:v>
      </x:c>
      <x:c r="I10" s="7" t="n">
        <x:v>0</x:v>
      </x:c>
      <x:c r="J10" s="7" t="n">
        <x:v>2</x:v>
      </x:c>
      <x:c r="K10" s="7" t="n">
        <x:v>2</x:v>
      </x:c>
      <x:c r="L10" s="7" t="n">
        <x:v>7</x:v>
      </x:c>
      <x:c r="M10" s="6" t="str">
        <x:v>등의 버섯으로 만능 약을 만든다는 고양이. 효과는 확실하지만 설명서를 읽으면 조금 불안해진다.</x:v>
      </x:c>
      <x:c r="N10" s="6" t="str">
        <x:v>Common</x:v>
      </x:c>
    </x:row>
    <x:row r="11" ht="24" hidden="0" customHeight="1">
      <x:c r="A11" s="7" t="n">
        <x:v>10</x:v>
      </x:c>
      <x:c r="B11" s="6" t="str">
        <x:v>Data_Card_Dreameater</x:v>
      </x:c>
      <x:c r="C11" s="6" t="str">
        <x:v>꿈먹이</x:v>
      </x:c>
      <x:c r="D11" s="6" t="str">
        <x:v>Live</x:v>
      </x:c>
      <x:c r="E11" s="7" t="n">
        <x:v>5</x:v>
      </x:c>
      <x:c r="F11" s="6" t="str">
        <x:v>Execution</x:v>
      </x:c>
      <x:c r="G11" s="7" t="n">
        <x:v>2</x:v>
      </x:c>
      <x:c r="H11" s="6" t="str">
        <x:v>Data_Synergy_Trace</x:v>
      </x:c>
      <x:c r="I11" s="7" t="n">
        <x:v>0</x:v>
      </x:c>
      <x:c r="J11" s="7" t="n">
        <x:v>2</x:v>
      </x:c>
      <x:c r="K11" s="7" t="n">
        <x:v>1</x:v>
      </x:c>
      <x:c r="L11" s="7" t="n">
        <x:v>9</x:v>
      </x:c>
      <x:c r="M11" s="6" t="str">
        <x:v>나쁜 꿈과 스트레스를 먹어주는 다정한 맥. 너무 많이 먹은 날에는 본인이 월요일 출근 꿈을 꾼다.</x:v>
      </x:c>
      <x:c r="N11" s="6" t="str">
        <x:v>Rare</x:v>
      </x:c>
    </x:row>
    <x:row r="12" ht="24" hidden="0" customHeight="1">
      <x:c r="A12" s="7" t="n">
        <x:v>11</x:v>
      </x:c>
      <x:c r="B12" s="6" t="str">
        <x:v>Data_Card_Woodhorn</x:v>
      </x:c>
      <x:c r="C12" s="6" t="str">
        <x:v>우드혼</x:v>
      </x:c>
      <x:c r="D12" s="6" t="str">
        <x:v>Live</x:v>
      </x:c>
      <x:c r="E12" s="7" t="n">
        <x:v>4</x:v>
      </x:c>
      <x:c r="F12" s="6" t="str">
        <x:v>Healer</x:v>
      </x:c>
      <x:c r="G12" s="7" t="n">
        <x:v>2</x:v>
      </x:c>
      <x:c r="H12" s="6" t="str">
        <x:v>Data_Synergy_Legacy</x:v>
      </x:c>
      <x:c r="I12" s="7" t="n">
        <x:v>0</x:v>
      </x:c>
      <x:c r="J12" s="7" t="n">
        <x:v>1</x:v>
      </x:c>
      <x:c r="K12" s="7" t="n">
        <x:v>2</x:v>
      </x:c>
      <x:c r="L12" s="7" t="n">
        <x:v>8</x:v>
      </x:c>
      <x:c r="M12" s="6" t="str">
        <x:v>나무뿔로 숲을 돌보고 식물을 키우는 작은 사슴. 가지치기를 부탁하면 자신의 뿔부터 걱정한다.</x:v>
      </x:c>
      <x:c r="N12" s="6" t="str">
        <x:v>Rare</x:v>
      </x:c>
    </x:row>
    <x:row r="13" ht="24" hidden="0" customHeight="1">
      <x:c r="A13" s="7" t="n">
        <x:v>12</x:v>
      </x:c>
      <x:c r="B13" s="6" t="str">
        <x:v>Data_Card_CaptainBeak</x:v>
      </x:c>
      <x:c r="C13" s="6" t="str">
        <x:v>대장부리</x:v>
      </x:c>
      <x:c r="D13" s="6" t="str">
        <x:v>Live</x:v>
      </x:c>
      <x:c r="E13" s="7" t="n">
        <x:v>5</x:v>
      </x:c>
      <x:c r="F13" s="6" t="str">
        <x:v>Peerless</x:v>
      </x:c>
      <x:c r="G13" s="7" t="n">
        <x:v>2</x:v>
      </x:c>
      <x:c r="H13" s="6" t="str">
        <x:v>Data_Synergy_Legacy</x:v>
      </x:c>
      <x:c r="I13" s="7" t="n">
        <x:v>0</x:v>
      </x:c>
      <x:c r="J13" s="7" t="n">
        <x:v>2</x:v>
      </x:c>
      <x:c r="K13" s="7" t="n">
        <x:v>2</x:v>
      </x:c>
      <x:c r="L13" s="7" t="n">
        <x:v>9</x:v>
      </x:c>
      <x:c r="M13" s="6" t="str">
        <x:v>부리 하나로 최고의 무기를 만드는 딱따구리 대장장이. 새벽에도 두드려서 마을의 천적은 알람이 아니라 대장부리다.</x:v>
      </x:c>
      <x:c r="N13" s="6" t="str">
        <x:v>Arcane</x:v>
      </x:c>
    </x:row>
    <x:row r="14" ht="24" hidden="0" customHeight="1">
      <x:c r="A14" s="7" t="n">
        <x:v>13</x:v>
      </x:c>
      <x:c r="B14" s="6" t="str">
        <x:v>Data_Card_Swampfrog</x:v>
      </x:c>
      <x:c r="C14" s="6" t="str">
        <x:v>늪꾸리</x:v>
      </x:c>
      <x:c r="D14" s="6" t="str">
        <x:v>Live</x:v>
      </x:c>
      <x:c r="E14" s="7" t="n">
        <x:v>5</x:v>
      </x:c>
      <x:c r="F14" s="6" t="str">
        <x:v>Execution</x:v>
      </x:c>
      <x:c r="G14" s="7" t="n">
        <x:v>2</x:v>
      </x:c>
      <x:c r="H14" s="6" t="str">
        <x:v>Data_Synergy_Predator</x:v>
      </x:c>
      <x:c r="I14" s="7" t="n">
        <x:v>0</x:v>
      </x:c>
      <x:c r="J14" s="7" t="n">
        <x:v>2</x:v>
      </x:c>
      <x:c r="K14" s="7" t="n">
        <x:v>2</x:v>
      </x:c>
      <x:c r="L14" s="7" t="n">
        <x:v>8</x:v>
      </x:c>
      <x:c r="M14" s="6" t="str">
        <x:v>진흙을 뿌려 적의 발을 묶는 개구리. 전투가 끝나면 가장 먼저 미끄러지는 것도 대개 본인이다.</x:v>
      </x:c>
      <x:c r="N14" s="6" t="str">
        <x:v>Rare</x:v>
      </x:c>
    </x:row>
    <x:row r="15" ht="24" hidden="0" customHeight="1">
      <x:c r="A15" s="7" t="n">
        <x:v>14</x:v>
      </x:c>
      <x:c r="B15" s="6" t="str">
        <x:v>Data_Card_DizzyOctopus</x:v>
      </x:c>
      <x:c r="C15" s="6" t="str">
        <x:v>해롱문어</x:v>
      </x:c>
      <x:c r="D15" s="6" t="str">
        <x:v>Live</x:v>
      </x:c>
      <x:c r="E15" s="7" t="n">
        <x:v>5</x:v>
      </x:c>
      <x:c r="F15" s="6" t="str">
        <x:v>Peerless</x:v>
      </x:c>
      <x:c r="G15" s="7" t="n">
        <x:v>2</x:v>
      </x:c>
      <x:c r="H15" s="6" t="str">
        <x:v>Data_Synergy_Predator</x:v>
      </x:c>
      <x:c r="I15" s="7" t="n">
        <x:v>0</x:v>
      </x:c>
      <x:c r="J15" s="7" t="n">
        <x:v>1</x:v>
      </x:c>
      <x:c r="K15" s="7" t="n">
        <x:v>2</x:v>
      </x:c>
      <x:c r="L15" s="7" t="n">
        <x:v>9</x:v>
      </x:c>
      <x:c r="M15" s="6" t="str">
        <x:v>빙글빙글한 눈으로 적을 홀리는 문어 조수. 본인도 가끔 최면에 걸려 같은 부품을 여덟 개 만든다.</x:v>
      </x:c>
      <x:c r="N15" s="6" t="str">
        <x:v>Rare</x:v>
      </x:c>
    </x:row>
    <x:row r="16" ht="24" hidden="0" customHeight="1">
      <x:c r="A16" s="7" t="n">
        <x:v>15</x:v>
      </x:c>
      <x:c r="B16" s="6" t="str">
        <x:v>Data_Card_WaterdropLong</x:v>
      </x:c>
      <x:c r="C16" s="6" t="str">
        <x:v>물방울룽</x:v>
      </x:c>
      <x:c r="D16" s="6" t="str">
        <x:v>Live</x:v>
      </x:c>
      <x:c r="E16" s="7" t="n">
        <x:v>3</x:v>
      </x:c>
      <x:c r="F16" s="6" t="str">
        <x:v>Cunning</x:v>
      </x:c>
      <x:c r="G16" s="7" t="n">
        <x:v>2</x:v>
      </x:c>
      <x:c r="H16" s="6" t="str">
        <x:v>Data_Synergy_Flow</x:v>
      </x:c>
      <x:c r="I16" s="7" t="n">
        <x:v>0</x:v>
      </x:c>
      <x:c r="J16" s="7" t="n">
        <x:v>2</x:v>
      </x:c>
      <x:c r="K16" s="7" t="n">
        <x:v>2</x:v>
      </x:c>
      <x:c r="L16" s="7" t="n">
        <x:v>8</x:v>
      </x:c>
      <x:c r="M16" s="6" t="str">
        <x:v>불만 보면 몸부터 출동하는 젤리 수달. 불은 잘 끄지만 현장은 늘 물바다가 된다.</x:v>
      </x:c>
      <x:c r="N16" s="6" t="str">
        <x:v>Common</x:v>
      </x:c>
    </x:row>
    <x:row r="17" ht="24" hidden="0" customHeight="1">
      <x:c r="A17" s="7" t="n">
        <x:v>16</x:v>
      </x:c>
      <x:c r="B17" s="6" t="str">
        <x:v>Data_Card_BalloonPeng</x:v>
      </x:c>
      <x:c r="C17" s="6" t="str">
        <x:v>풍선펭</x:v>
      </x:c>
      <x:c r="D17" s="6" t="str">
        <x:v>Live</x:v>
      </x:c>
      <x:c r="E17" s="7" t="n">
        <x:v>3</x:v>
      </x:c>
      <x:c r="F17" s="6" t="str">
        <x:v>Cunning</x:v>
      </x:c>
      <x:c r="G17" s="7" t="n">
        <x:v>2</x:v>
      </x:c>
      <x:c r="H17" s="6" t="str">
        <x:v>Data_Synergy_Flow</x:v>
      </x:c>
      <x:c r="I17" s="7" t="n">
        <x:v>0</x:v>
      </x:c>
      <x:c r="J17" s="7" t="n">
        <x:v>3</x:v>
      </x:c>
      <x:c r="K17" s="7" t="n">
        <x:v>1</x:v>
      </x:c>
      <x:c r="L17" s="7" t="n">
        <x:v>7</x:v>
      </x:c>
      <x:c r="M17" s="6" t="str">
        <x:v>배를 빵빵하게 부풀려 하늘을 난다. 착륙 지점은 바람과 운명, 그리고 간식의 위치가 결정한다.</x:v>
      </x:c>
      <x:c r="N17" s="6" t="str">
        <x:v>Common</x:v>
      </x:c>
    </x:row>
    <x:row r="18" ht="24" hidden="0" customHeight="1">
      <x:c r="A18" s="7" t="n">
        <x:v>17</x:v>
      </x:c>
      <x:c r="B18" s="6" t="str">
        <x:v>Data_Card_Waggledodo</x:v>
      </x:c>
      <x:c r="C18" s="6" t="str">
        <x:v>와글도도</x:v>
      </x:c>
      <x:c r="D18" s="6" t="str">
        <x:v>Live</x:v>
      </x:c>
      <x:c r="E18" s="7" t="n">
        <x:v>2</x:v>
      </x:c>
      <x:c r="F18" s="6" t="str">
        <x:v>Ranged</x:v>
      </x:c>
      <x:c r="G18" s="7" t="n">
        <x:v>2</x:v>
      </x:c>
      <x:c r="H18" s="6" t="str">
        <x:v>Data_Synergy_Brand</x:v>
      </x:c>
      <x:c r="I18" s="7" t="n">
        <x:v>0</x:v>
      </x:c>
      <x:c r="J18" s="7" t="n">
        <x:v>2</x:v>
      </x:c>
      <x:c r="K18" s="7" t="n">
        <x:v>2</x:v>
      </x:c>
      <x:c r="L18" s="7" t="n">
        <x:v>9</x:v>
      </x:c>
      <x:c r="M18" s="6" t="str">
        <x:v>혼자서는 겁이 많지만 모이면 세상 무서울 게 없는 도도새들. 문제는 도망갈 때도 단체 행동이 너무 완벽하다.</x:v>
      </x:c>
      <x:c r="N18" s="6" t="str">
        <x:v>Common</x:v>
      </x:c>
    </x:row>
    <x:row r="19" ht="24" hidden="0" customHeight="1">
      <x:c r="A19" s="7" t="n">
        <x:v>18</x:v>
      </x:c>
      <x:c r="B19" s="6" t="str">
        <x:v>Data_Card_Sandmong</x:v>
      </x:c>
      <x:c r="C19" s="6" t="str">
        <x:v>모래몽</x:v>
      </x:c>
      <x:c r="D19" s="6" t="str">
        <x:v>Live</x:v>
      </x:c>
      <x:c r="E19" s="7" t="n">
        <x:v>3</x:v>
      </x:c>
      <x:c r="F19" s="6" t="str">
        <x:v>Ranged</x:v>
      </x:c>
      <x:c r="G19" s="7" t="n">
        <x:v>2</x:v>
      </x:c>
      <x:c r="H19" s="6" t="str">
        <x:v>Data_Synergy_Brand</x:v>
      </x:c>
      <x:c r="I19" s="7" t="n">
        <x:v>0</x:v>
      </x:c>
      <x:c r="J19" s="7" t="n">
        <x:v>2</x:v>
      </x:c>
      <x:c r="K19" s="7" t="n">
        <x:v>2</x:v>
      </x:c>
      <x:c r="L19" s="7" t="n">
        <x:v>7</x:v>
      </x:c>
      <x:c r="M19" s="6" t="str">
        <x:v>위험하면 몸을 모래로 흩어 감쪽같이 사라진다. 다시 모일 때마다 모래 한 줌씩 부족한 게 고민이다.</x:v>
      </x:c>
      <x:c r="N19" s="6" t="str">
        <x:v>Common</x:v>
      </x:c>
    </x:row>
    <x:row r="20" ht="24" hidden="0" customHeight="1">
      <x:c r="A20" s="7" t="n">
        <x:v>19</x:v>
      </x:c>
      <x:c r="B20" s="6" t="str">
        <x:v>Data_Card_Icekomi</x:v>
      </x:c>
      <x:c r="C20" s="6" t="str">
        <x:v>얼음꼬미</x:v>
      </x:c>
      <x:c r="D20" s="6" t="str">
        <x:v>Live</x:v>
      </x:c>
      <x:c r="E20" s="7" t="n">
        <x:v>3</x:v>
      </x:c>
      <x:c r="F20" s="6" t="str">
        <x:v>Execution</x:v>
      </x:c>
      <x:c r="G20" s="7" t="n">
        <x:v>2</x:v>
      </x:c>
      <x:c r="H20" s="6" t="str">
        <x:v>Data_Synergy_Brand</x:v>
      </x:c>
      <x:c r="I20" s="7" t="n">
        <x:v>0</x:v>
      </x:c>
      <x:c r="J20" s="7" t="n">
        <x:v>2</x:v>
      </x:c>
      <x:c r="K20" s="7" t="n">
        <x:v>2</x:v>
      </x:c>
      <x:c r="L20" s="7" t="n">
        <x:v>9</x:v>
      </x:c>
      <x:c r="M20" s="6" t="str">
        <x:v>무더운 날 모두가 찾는 이동식 냉장고. 포옹은 시원하지만 3초 이상이면 털이 얼어붙는다.</x:v>
      </x:c>
      <x:c r="N20" s="6" t="str">
        <x:v>Common</x:v>
      </x:c>
    </x:row>
    <x:row r="21" ht="24" hidden="0" customHeight="1">
      <x:c r="A21" s="7" t="n">
        <x:v>20</x:v>
      </x:c>
      <x:c r="B21" s="6" t="str">
        <x:v>Data_Card_Honeybee</x:v>
      </x:c>
      <x:c r="C21" s="6" t="str">
        <x:v>꿀꿀비</x:v>
      </x:c>
      <x:c r="D21" s="6" t="str">
        <x:v>Live</x:v>
      </x:c>
      <x:c r="E21" s="7" t="n">
        <x:v>4</x:v>
      </x:c>
      <x:c r="F21" s="6" t="str"/>
      <x:c r="G21" s="7" t="n">
        <x:v>0</x:v>
      </x:c>
      <x:c r="H21" s="6" t="str">
        <x:v>Data_Synergy_Brand</x:v>
      </x:c>
      <x:c r="I21" s="7" t="n">
        <x:v>0</x:v>
      </x:c>
      <x:c r="J21" s="7" t="n">
        <x:v>2</x:v>
      </x:c>
      <x:c r="K21" s="7" t="n">
        <x:v>2</x:v>
      </x:c>
      <x:c r="L21" s="7" t="n">
        <x:v>10</x:v>
      </x:c>
      <x:c r="M21" s="6" t="str">
        <x:v>꽃가루와 씨앗을 모으는 욕심쟁이 수집가. 예쁜 꽃을 보면 돌진부터 해서 화단이 남아나지 않는다.</x:v>
      </x:c>
      <x:c r="N21" s="6" t="str">
        <x:v>Common</x:v>
      </x:c>
    </x:row>
    <x:row r="22" ht="24" hidden="0" customHeight="1">
      <x:c r="A22" s="7" t="n">
        <x:v>21</x:v>
      </x:c>
      <x:c r="B22" s="6" t="str">
        <x:v>Data_Card_MagnetCrab</x:v>
      </x:c>
      <x:c r="C22" s="6" t="str">
        <x:v>자석게</x:v>
      </x:c>
      <x:c r="D22" s="6" t="str">
        <x:v>Live</x:v>
      </x:c>
      <x:c r="E22" s="7" t="n">
        <x:v>6</x:v>
      </x:c>
      <x:c r="F22" s="6" t="str">
        <x:v>Taunt</x:v>
      </x:c>
      <x:c r="G22" s="7" t="n">
        <x:v>2</x:v>
      </x:c>
      <x:c r="H22" s="6" t="str">
        <x:v>Data_Synergy_Scale</x:v>
      </x:c>
      <x:c r="I22" s="7" t="n">
        <x:v>0</x:v>
      </x:c>
      <x:c r="J22" s="7" t="n">
        <x:v>1</x:v>
      </x:c>
      <x:c r="K22" s="7" t="n">
        <x:v>2</x:v>
      </x:c>
      <x:c r="L22" s="7" t="n">
        <x:v>10</x:v>
      </x:c>
      <x:c r="M22" s="6" t="str">
        <x:v>자석 집게로 잃어버린 장비를 척척 찾아낸다. 가끔 동료의 갑옷까지 통째로 회수한다.</x:v>
      </x:c>
      <x:c r="N22" s="6" t="str">
        <x:v>Arcane</x:v>
      </x:c>
    </x:row>
    <x:row r="23" ht="24" hidden="0" customHeight="1">
      <x:c r="A23" s="7" t="n">
        <x:v>22</x:v>
      </x:c>
      <x:c r="B23" s="6" t="str">
        <x:v>Data_Card_Gearmole</x:v>
      </x:c>
      <x:c r="C23" s="6" t="str">
        <x:v>톱니두더</x:v>
      </x:c>
      <x:c r="D23" s="6" t="str">
        <x:v>Live</x:v>
      </x:c>
      <x:c r="E23" s="7" t="n">
        <x:v>5</x:v>
      </x:c>
      <x:c r="F23" s="6" t="str">
        <x:v>Taunt</x:v>
      </x:c>
      <x:c r="G23" s="7" t="n">
        <x:v>2</x:v>
      </x:c>
      <x:c r="H23" s="6" t="str">
        <x:v>Data_Synergy_Scale</x:v>
      </x:c>
      <x:c r="I23" s="7" t="n">
        <x:v>0</x:v>
      </x:c>
      <x:c r="J23" s="7" t="n">
        <x:v>2</x:v>
      </x:c>
      <x:c r="K23" s="7" t="n">
        <x:v>2</x:v>
      </x:c>
      <x:c r="L23" s="7" t="n">
        <x:v>9</x:v>
      </x:c>
      <x:c r="M23" s="6" t="str">
        <x:v>땅속 광맥은 귀신같이 찾는다. 다만 신나서 파다 보면 종종 옆 마을 지하실로 나온다.</x:v>
      </x:c>
      <x:c r="N23" s="6" t="str">
        <x:v>Rare</x:v>
      </x:c>
    </x:row>
    <x:row r="24" ht="24" hidden="0" customHeight="1">
      <x:c r="A24" s="7" t="n">
        <x:v>23</x:v>
      </x:c>
      <x:c r="B24" s="6" t="str">
        <x:v>Data_Card_SnowballBear</x:v>
      </x:c>
      <x:c r="C24" s="6" t="str">
        <x:v>눈덩곰</x:v>
      </x:c>
      <x:c r="D24" s="6" t="str">
        <x:v>Live</x:v>
      </x:c>
      <x:c r="E24" s="7" t="n">
        <x:v>6</x:v>
      </x:c>
      <x:c r="F24" s="6" t="str">
        <x:v>Taunt</x:v>
      </x:c>
      <x:c r="G24" s="7" t="n">
        <x:v>2</x:v>
      </x:c>
      <x:c r="H24" s="6" t="str">
        <x:v>Data_Synergy_Bulk</x:v>
      </x:c>
      <x:c r="I24" s="7" t="n">
        <x:v>0</x:v>
      </x:c>
      <x:c r="J24" s="7" t="n">
        <x:v>1</x:v>
      </x:c>
      <x:c r="K24" s="7" t="n">
        <x:v>2</x:v>
      </x:c>
      <x:c r="L24" s="7" t="n">
        <x:v>10</x:v>
      </x:c>
      <x:c r="M24" s="6" t="str">
        <x:v>눈덩이를 굴릴수록 신이 나는 눈덩곰. 적보다 먼저 동료들이 눈사람이 되는 날도 있다.</x:v>
      </x:c>
      <x:c r="N24" s="6" t="str">
        <x:v>Rare</x:v>
      </x:c>
    </x:row>
    <x:row r="25" ht="24" hidden="0" customHeight="1">
      <x:c r="A25" s="7" t="n">
        <x:v>24</x:v>
      </x:c>
      <x:c r="B25" s="6" t="str">
        <x:v>Data_Card_Flarelux</x:v>
      </x:c>
      <x:c r="C25" s="6" t="str">
        <x:v>화르룩스</x:v>
      </x:c>
      <x:c r="D25" s="6" t="str">
        <x:v>Live</x:v>
      </x:c>
      <x:c r="E25" s="7" t="n">
        <x:v>8</x:v>
      </x:c>
      <x:c r="F25" s="6" t="str">
        <x:v>Taunt</x:v>
      </x:c>
      <x:c r="G25" s="7" t="n">
        <x:v>2</x:v>
      </x:c>
      <x:c r="H25" s="6" t="str">
        <x:v>Data_Synergy_Bulk</x:v>
      </x:c>
      <x:c r="I25" s="7" t="n">
        <x:v>0</x:v>
      </x:c>
      <x:c r="J25" s="7" t="n">
        <x:v>1</x:v>
      </x:c>
      <x:c r="K25" s="7" t="n">
        <x:v>2</x:v>
      </x:c>
      <x:c r="L25" s="7" t="n">
        <x:v>9</x:v>
      </x:c>
      <x:c r="M25" s="6" t="str">
        <x:v>작은 갈기에서 큰 불꽃이 솟는 열혈 사자. 요리할 때마다 ‘약불’의 의미를 다시 배운다.</x:v>
      </x:c>
      <x:c r="N25" s="6" t="str">
        <x:v>Rare</x:v>
      </x:c>
    </x:row>
    <x:row r="26" ht="24" hidden="0" customHeight="1">
      <x:c r="A26" s="7" t="n">
        <x:v>25</x:v>
      </x:c>
      <x:c r="B26" s="6" t="str">
        <x:v>Data_Card_Sparkfin</x:v>
      </x:c>
      <x:c r="C26" s="6" t="str">
        <x:v>찌릿핀</x:v>
      </x:c>
      <x:c r="D26" s="6" t="str">
        <x:v>Live</x:v>
      </x:c>
      <x:c r="E26" s="7" t="n">
        <x:v>5</x:v>
      </x:c>
      <x:c r="F26" s="6" t="str">
        <x:v>Execution</x:v>
      </x:c>
      <x:c r="G26" s="7" t="n">
        <x:v>2</x:v>
      </x:c>
      <x:c r="H26" s="6" t="str">
        <x:v>Data_Synergy_Flow</x:v>
      </x:c>
      <x:c r="I26" s="7" t="n">
        <x:v>0</x:v>
      </x:c>
      <x:c r="J26" s="7" t="n">
        <x:v>2</x:v>
      </x:c>
      <x:c r="K26" s="7" t="n">
        <x:v>2</x:v>
      </x:c>
      <x:c r="L26" s="7" t="n">
        <x:v>8</x:v>
      </x:c>
      <x:c r="M26" s="6" t="str">
        <x:v>충전만 부탁 받았는데 마을 전체를 정전시킨 전력이 있다. 본인은 ‘출력이 조금 셌을 뿐’이라고 주장한다.</x:v>
      </x:c>
      <x:c r="N26" s="6" t="str">
        <x:v>Rare</x:v>
      </x:c>
    </x:row>
    <x:row r="27" ht="24" hidden="0" customHeight="1">
      <x:c r="A27" s="7" t="n">
        <x:v>26</x:v>
      </x:c>
      <x:c r="B27" s="6" t="str">
        <x:v>Data_Card_Thunderhorn</x:v>
      </x:c>
      <x:c r="C27" s="6" t="str">
        <x:v>번개뿔</x:v>
      </x:c>
      <x:c r="D27" s="6" t="str">
        <x:v>Live</x:v>
      </x:c>
      <x:c r="E27" s="7" t="n">
        <x:v>5</x:v>
      </x:c>
      <x:c r="F27" s="6" t="str">
        <x:v>Peerless</x:v>
      </x:c>
      <x:c r="G27" s="7" t="n">
        <x:v>2</x:v>
      </x:c>
      <x:c r="H27" s="6" t="str">
        <x:v>Data_Synergy_Flow</x:v>
      </x:c>
      <x:c r="I27" s="7" t="n">
        <x:v>0</x:v>
      </x:c>
      <x:c r="J27" s="7" t="n">
        <x:v>2</x:v>
      </x:c>
      <x:c r="K27" s="7" t="n">
        <x:v>2</x:v>
      </x:c>
      <x:c r="L27" s="7" t="n">
        <x:v>8</x:v>
      </x:c>
      <x:c r="M27" s="6" t="str">
        <x:v>번개뿔로 전기를 모으는 돌격대장. 생각보다 몸이 먼저 나가서 작전명은 늘 ‘일단 돌진’이다.</x:v>
      </x:c>
      <x:c r="N27" s="6" t="str">
        <x:v>Rare</x:v>
      </x:c>
    </x:row>
    <x:row r="28" ht="24" hidden="0" customHeight="1">
      <x:c r="A28" s="7" t="n">
        <x:v>27</x:v>
      </x:c>
      <x:c r="B28" s="6" t="str">
        <x:v>Data_Card_Campbean</x:v>
      </x:c>
      <x:c r="C28" s="6" t="str">
        <x:v>모닥콩</x:v>
      </x:c>
      <x:c r="D28" s="6" t="str">
        <x:v>Live</x:v>
      </x:c>
      <x:c r="E28" s="7" t="n">
        <x:v>4</x:v>
      </x:c>
      <x:c r="F28" s="6" t="str">
        <x:v>Healer</x:v>
      </x:c>
      <x:c r="G28" s="7" t="n">
        <x:v>2</x:v>
      </x:c>
      <x:c r="H28" s="6" t="str">
        <x:v>Data_Synergy_Bulk</x:v>
      </x:c>
      <x:c r="I28" s="7" t="n">
        <x:v>0</x:v>
      </x:c>
      <x:c r="J28" s="7" t="n">
        <x:v>1</x:v>
      </x:c>
      <x:c r="K28" s="7" t="n">
        <x:v>2</x:v>
      </x:c>
      <x:c r="L28" s="7" t="n">
        <x:v>8</x:v>
      </x:c>
      <x:c r="M28" s="6" t="str">
        <x:v>등의 화로로 모두의 저녁을 책임진다. 문제는 본인이 먼저 군고구마 냄새에 넘어간다는 것.</x:v>
      </x:c>
      <x:c r="N28" s="6" t="str">
        <x:v>Rare</x:v>
      </x:c>
    </x:row>
    <x:row r="29" ht="24" hidden="0" customHeight="1">
      <x:c r="A29" s="7" t="n">
        <x:v>28</x:v>
      </x:c>
      <x:c r="B29" s="6" t="str">
        <x:v>Data_Card_Mapletail</x:v>
      </x:c>
      <x:c r="C29" s="6" t="str">
        <x:v>단풍꼬리</x:v>
      </x:c>
      <x:c r="D29" s="6" t="str">
        <x:v>Live</x:v>
      </x:c>
      <x:c r="E29" s="7" t="n">
        <x:v>6</x:v>
      </x:c>
      <x:c r="F29" s="6" t="str"/>
      <x:c r="G29" s="7" t="n">
        <x:v>0</x:v>
      </x:c>
      <x:c r="H29" s="6" t="str">
        <x:v>Data_Synergy_Legacy</x:v>
      </x:c>
      <x:c r="I29" s="7" t="n">
        <x:v>0</x:v>
      </x:c>
      <x:c r="J29" s="7" t="n">
        <x:v>2</x:v>
      </x:c>
      <x:c r="K29" s="7" t="n">
        <x:v>2</x:v>
      </x:c>
      <x:c r="L29" s="7" t="n">
        <x:v>10</x:v>
      </x:c>
      <x:c r="M29" s="6" t="str">
        <x:v>꼬리에 씨를 싣고 숲을 누비는 다람쥐. 벌목은 능숙하지만 낙엽철에는 꼬리 관리로 야근을 한다.</x:v>
      </x:c>
      <x:c r="N29" s="6" t="str">
        <x:v>Rare</x:v>
      </x:c>
    </x:row>
    <x:row r="30" ht="24" hidden="0" customHeight="1">
      <x:c r="A30" s="7" t="n">
        <x:v>29</x:v>
      </x:c>
      <x:c r="B30" s="6" t="str">
        <x:v>Data_Card_Crystahorn</x:v>
      </x:c>
      <x:c r="C30" s="6" t="str">
        <x:v>수정뿔루</x:v>
      </x:c>
      <x:c r="D30" s="6" t="str">
        <x:v>Live</x:v>
      </x:c>
      <x:c r="E30" s="7" t="n">
        <x:v>4</x:v>
      </x:c>
      <x:c r="F30" s="6" t="str">
        <x:v>Immortal</x:v>
      </x:c>
      <x:c r="G30" s="7" t="n">
        <x:v>2</x:v>
      </x:c>
      <x:c r="H30" s="6" t="str">
        <x:v>Data_Synergy_Scale</x:v>
      </x:c>
      <x:c r="I30" s="7" t="n">
        <x:v>0</x:v>
      </x:c>
      <x:c r="J30" s="7" t="n">
        <x:v>1</x:v>
      </x:c>
      <x:c r="K30" s="7" t="n">
        <x:v>2</x:v>
      </x:c>
      <x:c r="L30" s="7" t="n">
        <x:v>9</x:v>
      </x:c>
      <x:c r="M30" s="6" t="str">
        <x:v>수정 뿔로 보석을 찾고 보호막을 펼치는 산양. 빛나는 돌만 보면 임무를 잊고 얼마인지 감정부터 시작한다.</x:v>
      </x:c>
      <x:c r="N30" s="6" t="str">
        <x:v>Rare</x:v>
      </x:c>
    </x:row>
    <x:row r="31" ht="24" hidden="0" customHeight="1">
      <x:c r="A31" s="7" t="n">
        <x:v>30</x:v>
      </x:c>
      <x:c r="B31" s="6" t="str">
        <x:v>Data_Card_Bombbat</x:v>
      </x:c>
      <x:c r="C31" s="6" t="str">
        <x:v>폭탄밤</x:v>
      </x:c>
      <x:c r="D31" s="6" t="str">
        <x:v>Live</x:v>
      </x:c>
      <x:c r="E31" s="7" t="n">
        <x:v>4</x:v>
      </x:c>
      <x:c r="F31" s="6" t="str">
        <x:v>Peerless</x:v>
      </x:c>
      <x:c r="G31" s="7" t="n">
        <x:v>2</x:v>
      </x:c>
      <x:c r="H31" s="6" t="str">
        <x:v>Data_Synergy_Brand</x:v>
      </x:c>
      <x:c r="I31" s="7" t="n">
        <x:v>0</x:v>
      </x:c>
      <x:c r="J31" s="7" t="n">
        <x:v>2</x:v>
      </x:c>
      <x:c r="K31" s="7" t="n">
        <x:v>2</x:v>
      </x:c>
      <x:c r="L31" s="7" t="n">
        <x:v>9</x:v>
      </x:c>
      <x:c r="M31" s="6" t="str">
        <x:v>열매처럼 얌전히 매달려 자는 박쥐. 누가 깨우면 광산 하나가 사라질 만큼 요란하게 화낸다.</x:v>
      </x:c>
      <x:c r="N31" s="6" t="str">
        <x:v>Rare</x:v>
      </x:c>
    </x:row>
    <x:row r="32" ht="24" hidden="0" customHeight="1">
      <x:c r="A32" s="7" t="n">
        <x:v>31</x:v>
      </x:c>
      <x:c r="B32" s="6" t="str">
        <x:v>Data_Card_Crystalhorn</x:v>
      </x:c>
      <x:c r="C32" s="6" t="str">
        <x:v>크리스탈혼</x:v>
      </x:c>
      <x:c r="D32" s="6" t="str">
        <x:v>Live</x:v>
      </x:c>
      <x:c r="E32" s="7" t="n">
        <x:v>5</x:v>
      </x:c>
      <x:c r="F32" s="6" t="str">
        <x:v>Execution</x:v>
      </x:c>
      <x:c r="G32" s="7" t="n">
        <x:v>2</x:v>
      </x:c>
      <x:c r="H32" s="6" t="str">
        <x:v>Data_Synergy_Scale</x:v>
      </x:c>
      <x:c r="I32" s="7" t="n">
        <x:v>0</x:v>
      </x:c>
      <x:c r="J32" s="7" t="n">
        <x:v>2</x:v>
      </x:c>
      <x:c r="K32" s="7" t="n">
        <x:v>2</x:v>
      </x:c>
      <x:c r="L32" s="7" t="n">
        <x:v>9</x:v>
      </x:c>
      <x:c r="M32" s="6" t="str">
        <x:v>강력하고 아름다운 뿔을 지녔다. 반짝이는 건 좋아하지만 닦이는 건 싫어한다.</x:v>
      </x:c>
      <x:c r="N32" s="6" t="str">
        <x:v>Arcane</x:v>
      </x:c>
    </x:row>
    <x:row r="33" ht="24" hidden="0" customHeight="1">
      <x:c r="A33" s="7" t="n">
        <x:v>32</x:v>
      </x:c>
      <x:c r="B33" s="6" t="str">
        <x:v>Data_Card_Startail</x:v>
      </x:c>
      <x:c r="C33" s="6" t="str">
        <x:v>별꼬리</x:v>
      </x:c>
      <x:c r="D33" s="6" t="str">
        <x:v>Live</x:v>
      </x:c>
      <x:c r="E33" s="7" t="n">
        <x:v>4</x:v>
      </x:c>
      <x:c r="F33" s="6" t="str">
        <x:v>Cunning</x:v>
      </x:c>
      <x:c r="G33" s="7" t="n">
        <x:v>2</x:v>
      </x:c>
      <x:c r="H33" s="6" t="str">
        <x:v>Data_Synergy_Caretaker</x:v>
      </x:c>
      <x:c r="I33" s="7" t="n">
        <x:v>0</x:v>
      </x:c>
      <x:c r="J33" s="7" t="n">
        <x:v>2</x:v>
      </x:c>
      <x:c r="K33" s="7" t="n">
        <x:v>2</x:v>
      </x:c>
      <x:c r="L33" s="7" t="n">
        <x:v>9</x:v>
      </x:c>
      <x:c r="M33" s="6" t="str">
        <x:v>긴 꼬리 끝에 별이 떠다니며 항상 분주하다. 멈추는 법을 배우는 중이다. 아직 성공한 적은 없다.</x:v>
      </x:c>
      <x:c r="N33" s="6" t="str">
        <x:v>Arcane</x:v>
      </x:c>
    </x:row>
    <x:row r="34" ht="24" hidden="0" customHeight="1">
      <x:c r="A34" s="7" t="n">
        <x:v>33</x:v>
      </x:c>
      <x:c r="B34" s="6" t="str">
        <x:v>Data_Card_Lumielk</x:v>
      </x:c>
      <x:c r="C34" s="6" t="str">
        <x:v>루미엘크</x:v>
      </x:c>
      <x:c r="D34" s="6" t="str">
        <x:v>Live</x:v>
      </x:c>
      <x:c r="E34" s="7" t="n">
        <x:v>3</x:v>
      </x:c>
      <x:c r="F34" s="6" t="str">
        <x:v>Healer</x:v>
      </x:c>
      <x:c r="G34" s="7" t="n">
        <x:v>2</x:v>
      </x:c>
      <x:c r="H34" s="6" t="str">
        <x:v>Data_Synergy_Legacy</x:v>
      </x:c>
      <x:c r="I34" s="7" t="n">
        <x:v>0</x:v>
      </x:c>
      <x:c r="J34" s="7" t="n">
        <x:v>2</x:v>
      </x:c>
      <x:c r="K34" s="7" t="n">
        <x:v>2</x:v>
      </x:c>
      <x:c r="L34" s="7" t="n">
        <x:v>9</x:v>
      </x:c>
      <x:c r="M34" s="6" t="str">
        <x:v>강력한 힐링 기술을 지녔다. 머리에 정원을 키우고 있지만 물은 주지 않는다.</x:v>
      </x:c>
      <x:c r="N34" s="6" t="str">
        <x:v>Rare</x:v>
      </x:c>
    </x:row>
    <x:row r="35" ht="24" hidden="0" customHeight="1">
      <x:c r="A35" s="7" t="n">
        <x:v>34</x:v>
      </x:c>
      <x:c r="B35" s="6" t="str">
        <x:v>Data_Card_Magmole</x:v>
      </x:c>
      <x:c r="C35" s="6" t="str">
        <x:v>마그몰</x:v>
      </x:c>
      <x:c r="D35" s="6" t="str">
        <x:v>Live</x:v>
      </x:c>
      <x:c r="E35" s="7" t="n">
        <x:v>5</x:v>
      </x:c>
      <x:c r="F35" s="6" t="str">
        <x:v>Taunt</x:v>
      </x:c>
      <x:c r="G35" s="7" t="n">
        <x:v>0</x:v>
      </x:c>
      <x:c r="H35" s="6" t="str">
        <x:v>Data_Synergy_Flow</x:v>
      </x:c>
      <x:c r="I35" s="7" t="n">
        <x:v>0</x:v>
      </x:c>
      <x:c r="J35" s="7" t="n">
        <x:v>3</x:v>
      </x:c>
      <x:c r="K35" s="7" t="n">
        <x:v>2</x:v>
      </x:c>
      <x:c r="L35" s="7" t="n">
        <x:v>8</x:v>
      </x:c>
      <x:c r="M35" s="6" t="str">
        <x:v>화를 참는 편이다. 문제는 참으면 화산이 생긴다. 그리고 화산이 생기면 폭발한다.</x:v>
      </x:c>
      <x:c r="N35" s="6" t="str">
        <x:v>Rare</x:v>
      </x:c>
    </x:row>
    <x:row r="36" ht="24" hidden="0" customHeight="1">
      <x:c r="A36" s="7" t="n">
        <x:v>35</x:v>
      </x:c>
      <x:c r="B36" s="6" t="str">
        <x:v>Data_Card_Moonbite</x:v>
      </x:c>
      <x:c r="C36" s="6" t="str">
        <x:v>문바이트</x:v>
      </x:c>
      <x:c r="D36" s="6" t="str">
        <x:v>Live</x:v>
      </x:c>
      <x:c r="E36" s="7" t="n">
        <x:v>4</x:v>
      </x:c>
      <x:c r="F36" s="6" t="str">
        <x:v>Peerless</x:v>
      </x:c>
      <x:c r="G36" s="7" t="n">
        <x:v>2</x:v>
      </x:c>
      <x:c r="H36" s="6" t="str">
        <x:v>Data_Synergy_Predator</x:v>
      </x:c>
      <x:c r="I36" s="7" t="n">
        <x:v>0</x:v>
      </x:c>
      <x:c r="J36" s="7" t="n">
        <x:v>2</x:v>
      </x:c>
      <x:c r="K36" s="7" t="n">
        <x:v>2</x:v>
      </x:c>
      <x:c r="L36" s="7" t="n">
        <x:v>8</x:v>
      </x:c>
      <x:c r="M36" s="6" t="str">
        <x:v>엄청난 식욕으로 모든것을 먹는다. 그러니 달이 매일 모양이 달라지는 이유에 대해 묻지 말자.</x:v>
      </x:c>
      <x:c r="N36" s="6" t="str">
        <x:v>Common</x:v>
      </x:c>
    </x:row>
    <x:row r="37" ht="24" hidden="0" customHeight="1">
      <x:c r="A37" s="7" t="n">
        <x:v>36</x:v>
      </x:c>
      <x:c r="B37" s="6" t="str">
        <x:v>Data_Card_Ticktockgon</x:v>
      </x:c>
      <x:c r="C37" s="6" t="str">
        <x:v>틱톡곤</x:v>
      </x:c>
      <x:c r="D37" s="6" t="str">
        <x:v>Live</x:v>
      </x:c>
      <x:c r="E37" s="7" t="n">
        <x:v>4</x:v>
      </x:c>
      <x:c r="F37" s="6" t="str">
        <x:v>Immortal</x:v>
      </x:c>
      <x:c r="G37" s="7" t="n">
        <x:v>2</x:v>
      </x:c>
      <x:c r="H37" s="6" t="str">
        <x:v>Data_Synergy_Flow</x:v>
      </x:c>
      <x:c r="I37" s="7" t="n">
        <x:v>0</x:v>
      </x:c>
      <x:c r="J37" s="7" t="n">
        <x:v>2</x:v>
      </x:c>
      <x:c r="K37" s="7" t="n">
        <x:v>2</x:v>
      </x:c>
      <x:c r="L37" s="7" t="n">
        <x:v>9</x:v>
      </x:c>
      <x:c r="M37" s="6" t="str">
        <x:v>몸속에 거대한 태엽이 돌아가는 용. 시간 약속은 잘 지킨다. 가끔 너무 일찍 와서 심심해한다.</x:v>
      </x:c>
      <x:c r="N37" s="6" t="str">
        <x:v>Arcane</x:v>
      </x:c>
    </x:row>
    <x:row r="38" ht="24" hidden="0" customHeight="1">
      <x:c r="A38" s="7" t="n">
        <x:v>37</x:v>
      </x:c>
      <x:c r="B38" s="6" t="str">
        <x:v>Data_Card_Magnetos</x:v>
      </x:c>
      <x:c r="C38" s="6" t="str">
        <x:v>마그네토스</x:v>
      </x:c>
      <x:c r="D38" s="6" t="str">
        <x:v>Live</x:v>
      </x:c>
      <x:c r="E38" s="7" t="n">
        <x:v>4</x:v>
      </x:c>
      <x:c r="F38" s="6" t="str">
        <x:v>Peerless</x:v>
      </x:c>
      <x:c r="G38" s="7" t="n">
        <x:v>2</x:v>
      </x:c>
      <x:c r="H38" s="6" t="str">
        <x:v>Data_Synergy_Scale</x:v>
      </x:c>
      <x:c r="I38" s="7" t="n">
        <x:v>0</x:v>
      </x:c>
      <x:c r="J38" s="7" t="n">
        <x:v>2</x:v>
      </x:c>
      <x:c r="K38" s="7" t="n">
        <x:v>2</x:v>
      </x:c>
      <x:c r="L38" s="7" t="n">
        <x:v>9</x:v>
      </x:c>
      <x:c r="M38" s="6" t="str">
        <x:v>강력한 자석 뿔로 친해지고 싶으면 끌어당기고, 싫으면 아주 멀리 보낸다.</x:v>
      </x:c>
      <x:c r="N38" s="6" t="str">
        <x:v>Rare</x:v>
      </x:c>
    </x:row>
    <x:row r="39" ht="24" hidden="0" customHeight="1">
      <x:c r="A39" s="7" t="n">
        <x:v>38</x:v>
      </x:c>
      <x:c r="B39" s="6" t="str">
        <x:v>Data_Card_Crackmon</x:v>
      </x:c>
      <x:c r="C39" s="6" t="str">
        <x:v>크랙몬</x:v>
      </x:c>
      <x:c r="D39" s="6" t="str">
        <x:v>Live</x:v>
      </x:c>
      <x:c r="E39" s="7" t="n">
        <x:v>5</x:v>
      </x:c>
      <x:c r="F39" s="6" t="str">
        <x:v>Execution</x:v>
      </x:c>
      <x:c r="G39" s="7" t="n">
        <x:v>2</x:v>
      </x:c>
      <x:c r="H39" s="6" t="str">
        <x:v>Data_Synergy_Bulk</x:v>
      </x:c>
      <x:c r="I39" s="7" t="n">
        <x:v>0</x:v>
      </x:c>
      <x:c r="J39" s="7" t="n">
        <x:v>3</x:v>
      </x:c>
      <x:c r="K39" s="7" t="n">
        <x:v>2</x:v>
      </x:c>
      <x:c r="L39" s="7" t="n">
        <x:v>8</x:v>
      </x:c>
      <x:c r="M39" s="6" t="str">
        <x:v>현실의 틈에서 튀어나온 정체불명의 네발 생물. 문을 사용하지 않아 노크를 모른다.</x:v>
      </x:c>
      <x:c r="N39" s="6" t="str">
        <x:v>Arcane</x:v>
      </x:c>
    </x:row>
    <x:row r="40" ht="36" hidden="0" customHeight="1">
      <x:c r="A40" s="7" t="n">
        <x:v>39</x:v>
      </x:c>
      <x:c r="B40" s="6" t="str">
        <x:v>Data_Card_Raigor</x:v>
      </x:c>
      <x:c r="C40" s="6" t="str">
        <x:v>라이고르</x:v>
      </x:c>
      <x:c r="D40" s="6" t="str">
        <x:v>Live</x:v>
      </x:c>
      <x:c r="E40" s="7" t="n">
        <x:v>6</x:v>
      </x:c>
      <x:c r="F40" s="6" t="str">
        <x:v>Peerless</x:v>
      </x:c>
      <x:c r="G40" s="7" t="n">
        <x:v>2</x:v>
      </x:c>
      <x:c r="H40" s="6" t="str">
        <x:v>Data_Synergy_Predator|Data_Synergy_Brand</x:v>
      </x:c>
      <x:c r="I40" s="7" t="n">
        <x:v>0</x:v>
      </x:c>
      <x:c r="J40" s="7" t="n">
        <x:v>2</x:v>
      </x:c>
      <x:c r="K40" s="7" t="n">
        <x:v>2</x:v>
      </x:c>
      <x:c r="L40" s="7" t="n">
        <x:v>9</x:v>
      </x:c>
      <x:c r="M40" s="6" t="str">
        <x:v>아주 오래전 하늘이 처음 천둥을 울렸을 때 태어났다고 전해지는 신수. 평소에는 느긋하게 구름 위에서 낮잠을 자지만, 화가 나면 주변 하늘이 통째로 검게 변한다.</x:v>
      </x:c>
      <x:c r="N40" s="6" t="str">
        <x:v>Mythic</x:v>
      </x:c>
    </x:row>
    <x:row r="41" ht="36" hidden="0" customHeight="1">
      <x:c r="A41" s="7" t="n">
        <x:v>40</x:v>
      </x:c>
      <x:c r="B41" s="6" t="str">
        <x:v>Data_Card_Phoenixia</x:v>
      </x:c>
      <x:c r="C41" s="6" t="str">
        <x:v>피닉시아</x:v>
      </x:c>
      <x:c r="D41" s="6" t="str">
        <x:v>Live</x:v>
      </x:c>
      <x:c r="E41" s="7" t="n">
        <x:v>5</x:v>
      </x:c>
      <x:c r="F41" s="6" t="str">
        <x:v>Immortal</x:v>
      </x:c>
      <x:c r="G41" s="7" t="n">
        <x:v>2</x:v>
      </x:c>
      <x:c r="H41" s="6" t="str">
        <x:v>Data_Synergy_Legacy|Data_Synergy_Trace</x:v>
      </x:c>
      <x:c r="I41" s="7" t="n">
        <x:v>0</x:v>
      </x:c>
      <x:c r="J41" s="7" t="n">
        <x:v>2</x:v>
      </x:c>
      <x:c r="K41" s="7" t="n">
        <x:v>2</x:v>
      </x:c>
      <x:c r="L41" s="7" t="n">
        <x:v>10</x:v>
      </x:c>
      <x:c r="M41" s="6" t="str">
        <x:v>죽음과 재생을 상징하는 전설의 신수지만 생각보다 성격은 꽤 수다스럽다. 오래된 숲이 불타거나 새로운 생명이 태어나는 순간 나타나 꽃잎처럼 빛을 흩뿌린다.</x:v>
      </x:c>
      <x:c r="N41" s="6" t="str">
        <x:v>Mythic</x:v>
      </x:c>
    </x:row>
    <x:row r="44">
      <x:c r="A44" t="str">
        <x:v>출처: docs/SpecData/Card_sheet.csv / 2026-09-18 로컬 스냅샷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4" customHeight="1">
      <x:c r="A1" s="5" t="str">
        <x:v>CARD_KEYWORD</x:v>
      </x:c>
      <x:c r="B1" s="5" t="str">
        <x:v>flag_value:CARD_KEYWORD</x:v>
      </x:c>
      <x:c r="C1" s="5" t="str">
        <x:v>#</x:v>
      </x:c>
      <x:c r="D1" s="5" t="str">
        <x:v>CARD_CHANNEL</x:v>
      </x:c>
      <x:c r="E1" s="5" t="str">
        <x:v>value:CARD_CHANNEL</x:v>
      </x:c>
      <x:c r="F1" s="5" t="str">
        <x:v>#</x:v>
      </x:c>
      <x:c r="G1" s="5" t="str">
        <x:v>CARD_GRADE</x:v>
      </x:c>
      <x:c r="H1" s="5" t="str">
        <x:v>value:CARD_GRADE</x:v>
      </x:c>
    </x:row>
    <x:row r="2" ht="15" hidden="0" customHeight="1">
      <x:c r="A2" s="6" t="str">
        <x:v>None</x:v>
      </x:c>
      <x:c r="B2" s="6" t="str">
        <x:v>0</x:v>
      </x:c>
      <x:c r="C2" s="6" t="str"/>
      <x:c r="D2" s="6" t="str">
        <x:v>TestOnly</x:v>
      </x:c>
      <x:c r="E2" s="6" t="str">
        <x:v>0</x:v>
      </x:c>
      <x:c r="F2" s="6" t="str"/>
      <x:c r="G2" s="6" t="str">
        <x:v>Unknown</x:v>
      </x:c>
      <x:c r="H2" s="6" t="str">
        <x:v>0</x:v>
      </x:c>
    </x:row>
    <x:row r="3" ht="15" hidden="0" customHeight="1">
      <x:c r="A3" s="6" t="str">
        <x:v>Ranged</x:v>
      </x:c>
      <x:c r="B3" s="6" t="str">
        <x:v>1</x:v>
      </x:c>
      <x:c r="C3" s="6" t="str"/>
      <x:c r="D3" s="6" t="str">
        <x:v>Live</x:v>
      </x:c>
      <x:c r="E3" s="6" t="str">
        <x:v>1</x:v>
      </x:c>
      <x:c r="F3" s="6" t="str"/>
      <x:c r="G3" s="6" t="str">
        <x:v>Common</x:v>
      </x:c>
      <x:c r="H3" s="6" t="str">
        <x:v>1</x:v>
      </x:c>
    </x:row>
    <x:row r="4" ht="15" hidden="0" customHeight="1">
      <x:c r="A4" s="6" t="str">
        <x:v>Peerless</x:v>
      </x:c>
      <x:c r="B4" s="6" t="str">
        <x:v>2</x:v>
      </x:c>
      <x:c r="C4" s="6" t="str"/>
      <x:c r="D4" s="6" t="str"/>
      <x:c r="E4" s="6" t="str"/>
      <x:c r="F4" s="6" t="str"/>
      <x:c r="G4" s="6" t="str">
        <x:v>Rare</x:v>
      </x:c>
      <x:c r="H4" s="6" t="str">
        <x:v>2</x:v>
      </x:c>
    </x:row>
    <x:row r="5" ht="15" hidden="0" customHeight="1">
      <x:c r="A5" s="6" t="str">
        <x:v>Execution</x:v>
      </x:c>
      <x:c r="B5" s="6" t="str">
        <x:v>4</x:v>
      </x:c>
      <x:c r="C5" s="6" t="str"/>
      <x:c r="D5" s="6" t="str"/>
      <x:c r="E5" s="6" t="str"/>
      <x:c r="F5" s="6" t="str"/>
      <x:c r="G5" s="6" t="str">
        <x:v>Arcane</x:v>
      </x:c>
      <x:c r="H5" s="6" t="str">
        <x:v>3</x:v>
      </x:c>
    </x:row>
    <x:row r="6" ht="15" hidden="0" customHeight="1">
      <x:c r="A6" s="6" t="str">
        <x:v>Taunt</x:v>
      </x:c>
      <x:c r="B6" s="6" t="str">
        <x:v>8</x:v>
      </x:c>
      <x:c r="C6" s="6" t="str"/>
      <x:c r="D6" s="6" t="str"/>
      <x:c r="E6" s="6" t="str"/>
      <x:c r="F6" s="6" t="str"/>
      <x:c r="G6" s="6" t="str">
        <x:v>Mythic</x:v>
      </x:c>
      <x:c r="H6" s="6" t="str">
        <x:v>4</x:v>
      </x:c>
    </x:row>
    <x:row r="7" ht="15" hidden="0" customHeight="1">
      <x:c r="A7" s="6" t="str">
        <x:v>Cunning</x:v>
      </x:c>
      <x:c r="B7" s="6" t="str">
        <x:v>16</x:v>
      </x:c>
      <x:c r="C7" s="6" t="str"/>
      <x:c r="D7" s="6" t="str"/>
      <x:c r="E7" s="6" t="str"/>
      <x:c r="F7" s="6" t="str"/>
      <x:c r="G7" s="6" t="str"/>
      <x:c r="H7" s="6" t="str"/>
    </x:row>
    <x:row r="8" ht="15" hidden="0" customHeight="1">
      <x:c r="A8" s="6" t="str">
        <x:v>Mark</x:v>
      </x:c>
      <x:c r="B8" s="6" t="str">
        <x:v>32</x:v>
      </x:c>
      <x:c r="C8" s="6" t="str"/>
      <x:c r="D8" s="6" t="str"/>
      <x:c r="E8" s="6" t="str"/>
      <x:c r="F8" s="6" t="str"/>
      <x:c r="G8" s="6" t="str"/>
      <x:c r="H8" s="6" t="str"/>
    </x:row>
    <x:row r="9" ht="15" hidden="0" customHeight="1">
      <x:c r="A9" s="6" t="str">
        <x:v>Healer</x:v>
      </x:c>
      <x:c r="B9" s="6" t="str">
        <x:v>64</x:v>
      </x:c>
      <x:c r="C9" s="6" t="str"/>
      <x:c r="D9" s="6" t="str"/>
      <x:c r="E9" s="6" t="str"/>
      <x:c r="F9" s="6" t="str"/>
      <x:c r="G9" s="6" t="str"/>
      <x:c r="H9" s="6" t="str"/>
    </x:row>
    <x:row r="10" ht="15" hidden="0" customHeight="1">
      <x:c r="A10" s="6" t="str">
        <x:v>Invincible</x:v>
      </x:c>
      <x:c r="B10" s="6" t="str">
        <x:v>128</x:v>
      </x:c>
      <x:c r="C10" s="6" t="str"/>
      <x:c r="D10" s="6" t="str"/>
      <x:c r="E10" s="6" t="str"/>
      <x:c r="F10" s="6" t="str"/>
      <x:c r="G10" s="6" t="str"/>
      <x:c r="H10" s="6" t="str"/>
    </x:row>
    <x:row r="11" ht="15" hidden="0" customHeight="1">
      <x:c r="A11" s="6" t="str">
        <x:v>BonusHp</x:v>
      </x:c>
      <x:c r="B11" s="6" t="str">
        <x:v>256</x:v>
      </x:c>
      <x:c r="C11" s="6" t="str"/>
      <x:c r="D11" s="6" t="str"/>
      <x:c r="E11" s="6" t="str"/>
      <x:c r="F11" s="6" t="str"/>
      <x:c r="G11" s="6" t="str"/>
      <x:c r="H11" s="6" t="str"/>
    </x:row>
    <x:row r="12" ht="15" hidden="0" customHeight="1">
      <x:c r="A12" s="6" t="str">
        <x:v>Immortal</x:v>
      </x:c>
      <x:c r="B12" s="6" t="str">
        <x:v>512</x:v>
      </x:c>
      <x:c r="C12" s="6" t="str"/>
      <x:c r="D12" s="6" t="str"/>
      <x:c r="E12" s="6" t="str"/>
      <x:c r="F12" s="6" t="str"/>
      <x:c r="G12" s="6" t="str"/>
      <x:c r="H12" s="6" t="str"/>
    </x:row>
    <x:row r="15">
      <x:c r="A15" t="str">
        <x:v>출처: docs/SpecData/enum_sheet.csv / 2026-09-18 로컬 스냅샷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44" customHeight="1">
      <x:c r="A1" s="5" t="str">
        <x:v>id</x:v>
      </x:c>
      <x:c r="B1" s="5" t="str">
        <x:v>keyword</x:v>
      </x:c>
      <x:c r="C1" s="5" t="str">
        <x:v>maxLevel</x:v>
      </x:c>
      <x:c r="D1" s="5" t="str">
        <x:v>hpPerLevel</x:v>
      </x:c>
      <x:c r="E1" s="5" t="str">
        <x:v>baseCost</x:v>
      </x:c>
      <x:c r="F1" s="5" t="str">
        <x:v>costGrowthPerLevel</x:v>
      </x:c>
      <x:c r="G1" s="5" t="str">
        <x:v>costCurrency</x:v>
      </x:c>
    </x:row>
    <x:row r="2" ht="15" hidden="0" customHeight="1">
      <x:c r="A2" s="7" t="n">
        <x:v>1</x:v>
      </x:c>
      <x:c r="B2" s="6" t="str">
        <x:v>Ranged</x:v>
      </x:c>
      <x:c r="C2" s="7" t="n">
        <x:v>10</x:v>
      </x:c>
      <x:c r="D2" s="7" t="n">
        <x:v>1</x:v>
      </x:c>
      <x:c r="E2" s="7" t="n">
        <x:v>5</x:v>
      </x:c>
      <x:c r="F2" s="7" t="n">
        <x:v>5</x:v>
      </x:c>
      <x:c r="G2" s="6" t="str">
        <x:v>Energy</x:v>
      </x:c>
    </x:row>
    <x:row r="3" ht="15" hidden="0" customHeight="1">
      <x:c r="A3" s="7" t="n">
        <x:v>2</x:v>
      </x:c>
      <x:c r="B3" s="6" t="str">
        <x:v>Peerless</x:v>
      </x:c>
      <x:c r="C3" s="7" t="n">
        <x:v>10</x:v>
      </x:c>
      <x:c r="D3" s="7" t="n">
        <x:v>1</x:v>
      </x:c>
      <x:c r="E3" s="7" t="n">
        <x:v>5</x:v>
      </x:c>
      <x:c r="F3" s="7" t="n">
        <x:v>5</x:v>
      </x:c>
      <x:c r="G3" s="6" t="str">
        <x:v>Energy</x:v>
      </x:c>
    </x:row>
    <x:row r="4" ht="15" hidden="0" customHeight="1">
      <x:c r="A4" s="7" t="n">
        <x:v>3</x:v>
      </x:c>
      <x:c r="B4" s="6" t="str">
        <x:v>Execution</x:v>
      </x:c>
      <x:c r="C4" s="7" t="n">
        <x:v>10</x:v>
      </x:c>
      <x:c r="D4" s="7" t="n">
        <x:v>1</x:v>
      </x:c>
      <x:c r="E4" s="7" t="n">
        <x:v>5</x:v>
      </x:c>
      <x:c r="F4" s="7" t="n">
        <x:v>5</x:v>
      </x:c>
      <x:c r="G4" s="6" t="str">
        <x:v>Energy</x:v>
      </x:c>
    </x:row>
    <x:row r="5" ht="15" hidden="0" customHeight="1">
      <x:c r="A5" s="7" t="n">
        <x:v>4</x:v>
      </x:c>
      <x:c r="B5" s="6" t="str">
        <x:v>Taunt</x:v>
      </x:c>
      <x:c r="C5" s="7" t="n">
        <x:v>10</x:v>
      </x:c>
      <x:c r="D5" s="7" t="n">
        <x:v>1</x:v>
      </x:c>
      <x:c r="E5" s="7" t="n">
        <x:v>5</x:v>
      </x:c>
      <x:c r="F5" s="7" t="n">
        <x:v>5</x:v>
      </x:c>
      <x:c r="G5" s="6" t="str">
        <x:v>Energy</x:v>
      </x:c>
    </x:row>
    <x:row r="6" ht="15" hidden="0" customHeight="1">
      <x:c r="A6" s="7" t="n">
        <x:v>5</x:v>
      </x:c>
      <x:c r="B6" s="6" t="str">
        <x:v>Cunning</x:v>
      </x:c>
      <x:c r="C6" s="7" t="n">
        <x:v>10</x:v>
      </x:c>
      <x:c r="D6" s="7" t="n">
        <x:v>1</x:v>
      </x:c>
      <x:c r="E6" s="7" t="n">
        <x:v>5</x:v>
      </x:c>
      <x:c r="F6" s="7" t="n">
        <x:v>5</x:v>
      </x:c>
      <x:c r="G6" s="6" t="str">
        <x:v>Energy</x:v>
      </x:c>
    </x:row>
    <x:row r="7" ht="15" hidden="0" customHeight="1">
      <x:c r="A7" s="7" t="n">
        <x:v>6</x:v>
      </x:c>
      <x:c r="B7" s="6" t="str">
        <x:v>Healer</x:v>
      </x:c>
      <x:c r="C7" s="7" t="n">
        <x:v>10</x:v>
      </x:c>
      <x:c r="D7" s="7" t="n">
        <x:v>1</x:v>
      </x:c>
      <x:c r="E7" s="7" t="n">
        <x:v>5</x:v>
      </x:c>
      <x:c r="F7" s="7" t="n">
        <x:v>5</x:v>
      </x:c>
      <x:c r="G7" s="6" t="str">
        <x:v>Energy</x:v>
      </x:c>
    </x:row>
    <x:row r="10">
      <x:c r="A10" t="str">
        <x:v>출처: docs/SpecData/KeywordEnhance_sheet.csv / 2026-09-18 로컬 스냅샷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52" hidden="0" customWidth="1"/>
    <x:col min="3" max="3" width="15" hidden="0" customWidth="1"/>
  </x:cols>
  <x:sheetData>
    <x:row r="1" ht="44" customHeight="1">
      <x:c r="A1" s="5" t="str">
        <x:v>id</x:v>
      </x:c>
      <x:c r="B1" s="5" t="str">
        <x:v>text</x:v>
      </x:c>
      <x:c r="C1" s="5" t="str">
        <x:v>enabled</x:v>
      </x:c>
    </x:row>
    <x:row r="2" ht="15" hidden="0" customHeight="1">
      <x:c r="A2" s="7" t="n">
        <x:v>1</x:v>
      </x:c>
      <x:c r="B2" s="6" t="str">
        <x:v>귀여움은 세상을 정복할 수 있어요!</x:v>
      </x:c>
      <x:c r="C2" s="7" t="n">
        <x:v>1</x:v>
      </x:c>
    </x:row>
    <x:row r="3" ht="15" hidden="0" customHeight="1">
      <x:c r="A3" s="7" t="n">
        <x:v>2</x:v>
      </x:c>
      <x:c r="B3" s="6" t="str">
        <x:v>원거리 공격은 반격을 받지 않아요.</x:v>
      </x:c>
      <x:c r="C3" s="7" t="n">
        <x:v>1</x:v>
      </x:c>
    </x:row>
    <x:row r="4" ht="15" hidden="0" customHeight="1">
      <x:c r="A4" s="7" t="n">
        <x:v>3</x:v>
      </x:c>
      <x:c r="B4" s="6" t="str">
        <x:v>표식이 있는 적을 공격하면 반격을 받지 않아요.</x:v>
      </x:c>
      <x:c r="C4" s="7" t="n">
        <x:v>1</x:v>
      </x:c>
    </x:row>
    <x:row r="5" ht="15" hidden="0" customHeight="1">
      <x:c r="A5" s="7" t="n">
        <x:v>4</x:v>
      </x:c>
      <x:c r="B5" s="6" t="str">
        <x:v>추가 생명력은 생명력보다 먼저 소모돼요.</x:v>
      </x:c>
      <x:c r="C5" s="7" t="n">
        <x:v>1</x:v>
      </x:c>
    </x:row>
    <x:row r="6" ht="15" hidden="0" customHeight="1">
      <x:c r="A6" s="7" t="n">
        <x:v>5</x:v>
      </x:c>
      <x:c r="B6" s="6" t="str">
        <x:v>무적은 다음 피해를 한 번 막아 줘요.</x:v>
      </x:c>
      <x:c r="C6" s="7" t="n">
        <x:v>1</x:v>
      </x:c>
    </x:row>
    <x:row r="7" ht="15" hidden="0" customHeight="1">
      <x:c r="A7" s="7" t="n">
        <x:v>6</x:v>
      </x:c>
      <x:c r="B7" s="6" t="str">
        <x:v>처형의 추가 공격은 도발을 무시해요.</x:v>
      </x:c>
      <x:c r="C7" s="7" t="n">
        <x:v>1</x:v>
      </x:c>
    </x:row>
    <x:row r="10">
      <x:c r="A10" t="str">
        <x:v>출처: docs/SpecData/LoadingTip_sheet.csv / 2026-09-18 로컬 스냅샷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26" hidden="0" customWidth="1"/>
    <x:col min="6" max="6" width="15" hidden="0" customWidth="1"/>
    <x:col min="7" max="7" width="15" hidden="0" customWidth="1"/>
    <x:col min="8" max="8" width="52" hidden="0" customWidth="1"/>
    <x:col min="9" max="9" width="15" hidden="0" customWidth="1"/>
    <x:col min="10" max="10" width="15" hidden="0" customWidth="1"/>
    <x:col min="11" max="11" width="26" hidden="0" customWidth="1"/>
    <x:col min="12" max="12" width="26" hidden="0" customWidth="1"/>
    <x:col min="13" max="13" width="15" hidden="0" customWidth="1"/>
    <x:col min="14" max="14" width="52" hidden="0" customWidth="1"/>
  </x:cols>
  <x:sheetData>
    <x:row r="1" ht="44" customHeight="1">
      <x:c r="A1" s="5" t="str">
        <x:v>id</x:v>
      </x:c>
      <x:c r="B1" s="5" t="str">
        <x:v>missionId</x:v>
      </x:c>
      <x:c r="C1" s="5" t="str">
        <x:v>enabled</x:v>
      </x:c>
      <x:c r="D1" s="5" t="str">
        <x:v>period</x:v>
      </x:c>
      <x:c r="E1" s="5" t="str">
        <x:v>eventKey</x:v>
      </x:c>
      <x:c r="F1" s="5" t="str">
        <x:v>targetCount</x:v>
      </x:c>
      <x:c r="G1" s="5" t="str">
        <x:v>title</x:v>
      </x:c>
      <x:c r="H1" s="5" t="str">
        <x:v>description</x:v>
      </x:c>
      <x:c r="I1" s="5" t="str">
        <x:v>passExp</x:v>
      </x:c>
      <x:c r="J1" s="5" t="str">
        <x:v>sortOrder</x:v>
      </x:c>
      <x:c r="K1" s="5" t="str">
        <x:v>guideActId</x:v>
      </x:c>
      <x:c r="L1" s="5" t="str">
        <x:v>guideActName</x:v>
      </x:c>
      <x:c r="M1" s="5" t="str">
        <x:v>accountExp</x:v>
      </x:c>
      <x:c r="N1" s="5" t="str">
        <x:v>#memo</x:v>
      </x:c>
    </x:row>
    <x:row r="2" ht="15" hidden="0" customHeight="1">
      <x:c r="A2" s="7" t="n">
        <x:v>1</x:v>
      </x:c>
      <x:c r="B2" s="6" t="str">
        <x:v>daily.openPack1</x:v>
      </x:c>
      <x:c r="C2" s="7" t="n">
        <x:v>1</x:v>
      </x:c>
      <x:c r="D2" s="6" t="str">
        <x:v>daily</x:v>
      </x:c>
      <x:c r="E2" s="6" t="str">
        <x:v>OpenPack</x:v>
      </x:c>
      <x:c r="F2" s="7" t="n">
        <x:v>1</x:v>
      </x:c>
      <x:c r="G2" s="6" t="str">
        <x:v>카드 팩 1회 개봉</x:v>
      </x:c>
      <x:c r="H2" s="6" t="str">
        <x:v>카드 팩을 1회 개봉하세요</x:v>
      </x:c>
      <x:c r="I2" s="7" t="n">
        <x:v>15</x:v>
      </x:c>
      <x:c r="J2" s="7" t="n">
        <x:v>6</x:v>
      </x:c>
      <x:c r="K2" s="7" t="n">
        <x:v>0</x:v>
      </x:c>
      <x:c r="L2" s="6" t="str"/>
      <x:c r="M2" s="7" t="n">
        <x:v>50</x:v>
      </x:c>
      <x:c r="N2" s="6" t="str">
        <x:v>콘텐츠별 보상 배분안 적용 목표; 서버 catalog 동기화 대기</x:v>
      </x:c>
    </x:row>
    <x:row r="3" ht="15" hidden="0" customHeight="1">
      <x:c r="A3" s="7" t="n">
        <x:v>2</x:v>
      </x:c>
      <x:c r="B3" s="6" t="str">
        <x:v>daily.openPack3</x:v>
      </x:c>
      <x:c r="C3" s="7" t="n">
        <x:v>0</x:v>
      </x:c>
      <x:c r="D3" s="6" t="str">
        <x:v>daily</x:v>
      </x:c>
      <x:c r="E3" s="6" t="str">
        <x:v>OpenPack</x:v>
      </x:c>
      <x:c r="F3" s="7" t="n">
        <x:v>3</x:v>
      </x:c>
      <x:c r="G3" s="6" t="str">
        <x:v>카드 팩 3회 개봉</x:v>
      </x:c>
      <x:c r="H3" s="6" t="str">
        <x:v>카드 팩을 3회 개봉하세요</x:v>
      </x:c>
      <x:c r="I3" s="7" t="n">
        <x:v>0</x:v>
      </x:c>
      <x:c r="J3" s="7" t="n">
        <x:v>2</x:v>
      </x:c>
      <x:c r="K3" s="7" t="n">
        <x:v>0</x:v>
      </x:c>
      <x:c r="L3" s="6" t="str"/>
      <x:c r="M3" s="7" t="n">
        <x:v>0</x:v>
      </x:c>
      <x:c r="N3" s="6" t="str">
        <x:v>퇴역; 일일 팩 1회 미션으로 통합; 서버 catalog 동기화 대기</x:v>
      </x:c>
    </x:row>
    <x:row r="4" ht="15" hidden="0" customHeight="1">
      <x:c r="A4" s="7" t="n">
        <x:v>3</x:v>
      </x:c>
      <x:c r="B4" s="6" t="str">
        <x:v>weekly.openPack10</x:v>
      </x:c>
      <x:c r="C4" s="7" t="n">
        <x:v>1</x:v>
      </x:c>
      <x:c r="D4" s="6" t="str">
        <x:v>weekly</x:v>
      </x:c>
      <x:c r="E4" s="6" t="str">
        <x:v>OpenPack</x:v>
      </x:c>
      <x:c r="F4" s="7" t="n">
        <x:v>10</x:v>
      </x:c>
      <x:c r="G4" s="6" t="str">
        <x:v>카드 팩 10회 개봉</x:v>
      </x:c>
      <x:c r="H4" s="6" t="str">
        <x:v>카드 팩을 10회 개봉하세요</x:v>
      </x:c>
      <x:c r="I4" s="7" t="n">
        <x:v>30</x:v>
      </x:c>
      <x:c r="J4" s="7" t="n">
        <x:v>3</x:v>
      </x:c>
      <x:c r="K4" s="7" t="n">
        <x:v>0</x:v>
      </x:c>
      <x:c r="L4" s="6" t="str"/>
      <x:c r="M4" s="7" t="n">
        <x:v>200</x:v>
      </x:c>
      <x:c r="N4" s="6" t="str">
        <x:v>서버 catalog 동기화 및 보상 팩 지급 구현 대기</x:v>
      </x:c>
    </x:row>
    <x:row r="5" ht="15" hidden="0" customHeight="1">
      <x:c r="A5" s="7" t="n">
        <x:v>4</x:v>
      </x:c>
      <x:c r="B5" s="6" t="str">
        <x:v>weekly.enhanceCard5</x:v>
      </x:c>
      <x:c r="C5" s="7" t="n">
        <x:v>0</x:v>
      </x:c>
      <x:c r="D5" s="6" t="str">
        <x:v>weekly</x:v>
      </x:c>
      <x:c r="E5" s="6" t="str">
        <x:v>EnhanceCard</x:v>
      </x:c>
      <x:c r="F5" s="7" t="n">
        <x:v>5</x:v>
      </x:c>
      <x:c r="G5" s="6" t="str">
        <x:v>카드 5회 강화</x:v>
      </x:c>
      <x:c r="H5" s="6" t="str">
        <x:v>카드를 5회 강화하세요</x:v>
      </x:c>
      <x:c r="I5" s="7" t="n">
        <x:v>0</x:v>
      </x:c>
      <x:c r="J5" s="7" t="n">
        <x:v>2</x:v>
      </x:c>
      <x:c r="K5" s="7" t="n">
        <x:v>0</x:v>
      </x:c>
      <x:c r="L5" s="6" t="str"/>
      <x:c r="M5" s="7" t="n">
        <x:v>0</x:v>
      </x:c>
      <x:c r="N5" s="6" t="str">
        <x:v>퇴역; weekly.enhanceCard10으로 교체; 서버 catalog 동기화 대기</x:v>
      </x:c>
    </x:row>
    <x:row r="6" ht="15" hidden="0" customHeight="1">
      <x:c r="A6" s="7" t="n">
        <x:v>5</x:v>
      </x:c>
      <x:c r="B6" s="6" t="str">
        <x:v>weekly.limitBreakCard1</x:v>
      </x:c>
      <x:c r="C6" s="7" t="n">
        <x:v>0</x:v>
      </x:c>
      <x:c r="D6" s="6" t="str">
        <x:v>weekly</x:v>
      </x:c>
      <x:c r="E6" s="6" t="str">
        <x:v>LimitBreakCard</x:v>
      </x:c>
      <x:c r="F6" s="7" t="n">
        <x:v>1</x:v>
      </x:c>
      <x:c r="G6" s="6" t="str">
        <x:v>카드 1회 한계 돌파</x:v>
      </x:c>
      <x:c r="H6" s="6" t="str">
        <x:v>카드를 1회 한계 돌파하세요</x:v>
      </x:c>
      <x:c r="I6" s="7" t="n">
        <x:v>0</x:v>
      </x:c>
      <x:c r="J6" s="7" t="n">
        <x:v>3</x:v>
      </x:c>
      <x:c r="K6" s="7" t="n">
        <x:v>0</x:v>
      </x:c>
      <x:c r="L6" s="6" t="str"/>
      <x:c r="M6" s="7" t="n">
        <x:v>0</x:v>
      </x:c>
      <x:c r="N6" s="6" t="str">
        <x:v>퇴역; 한계돌파를 주간 필수 조건에서 제외; 서버 catalog 동기화 대기</x:v>
      </x:c>
    </x:row>
    <x:row r="7" ht="15" hidden="0" customHeight="1">
      <x:c r="A7" s="7" t="n">
        <x:v>6</x:v>
      </x:c>
      <x:c r="B7" s="6" t="str">
        <x:v>daily.completeBattle3</x:v>
      </x:c>
      <x:c r="C7" s="7" t="n">
        <x:v>1</x:v>
      </x:c>
      <x:c r="D7" s="6" t="str">
        <x:v>daily</x:v>
      </x:c>
      <x:c r="E7" s="6" t="str">
        <x:v>CompleteBattle</x:v>
      </x:c>
      <x:c r="F7" s="7" t="n">
        <x:v>3</x:v>
      </x:c>
      <x:c r="G7" s="6" t="str">
        <x:v>전투 3회 완료</x:v>
      </x:c>
      <x:c r="H7" s="6" t="str">
        <x:v>전투를 3회 완료하세요</x:v>
      </x:c>
      <x:c r="I7" s="7" t="n">
        <x:v>20</x:v>
      </x:c>
      <x:c r="J7" s="7" t="n">
        <x:v>1</x:v>
      </x:c>
      <x:c r="K7" s="7" t="n">
        <x:v>0</x:v>
      </x:c>
      <x:c r="L7" s="6" t="str"/>
      <x:c r="M7" s="7" t="n">
        <x:v>50</x:v>
      </x:c>
      <x:c r="N7" s="6" t="str">
        <x:v>하루 누적; 패배 포함; 모험 집계 연결 및 서버 catalog 동기화 대기</x:v>
      </x:c>
    </x:row>
    <x:row r="8" ht="15" hidden="0" customHeight="1">
      <x:c r="A8" s="7" t="n">
        <x:v>7</x:v>
      </x:c>
      <x:c r="B8" s="6" t="str">
        <x:v>weekly.winRankedBattle5</x:v>
      </x:c>
      <x:c r="C8" s="7" t="n">
        <x:v>0</x:v>
      </x:c>
      <x:c r="D8" s="6" t="str">
        <x:v>weekly</x:v>
      </x:c>
      <x:c r="E8" s="6" t="str">
        <x:v>WinRankedBattle</x:v>
      </x:c>
      <x:c r="F8" s="7" t="n">
        <x:v>5</x:v>
      </x:c>
      <x:c r="G8" s="6" t="str">
        <x:v>랭크 전투 5회 승리</x:v>
      </x:c>
      <x:c r="H8" s="6" t="str">
        <x:v>랭크 전투에서 5회 승리하세요</x:v>
      </x:c>
      <x:c r="I8" s="7" t="n">
        <x:v>0</x:v>
      </x:c>
      <x:c r="J8" s="7" t="n">
        <x:v>4</x:v>
      </x:c>
      <x:c r="K8" s="7" t="n">
        <x:v>0</x:v>
      </x:c>
      <x:c r="L8" s="6" t="str"/>
      <x:c r="M8" s="7" t="n">
        <x:v>0</x:v>
      </x:c>
      <x:c r="N8" s="6" t="str">
        <x:v>퇴역; weekly.winBattle10으로 교체; 서버 catalog 동기화 대기</x:v>
      </x:c>
    </x:row>
    <x:row r="9" ht="15" hidden="0" customHeight="1">
      <x:c r="A9" s="7" t="n">
        <x:v>8</x:v>
      </x:c>
      <x:c r="B9" s="6" t="str">
        <x:v>daily.claimReward1</x:v>
      </x:c>
      <x:c r="C9" s="7" t="n">
        <x:v>0</x:v>
      </x:c>
      <x:c r="D9" s="6" t="str">
        <x:v>daily</x:v>
      </x:c>
      <x:c r="E9" s="6" t="str">
        <x:v>ClaimReward</x:v>
      </x:c>
      <x:c r="F9" s="7" t="n">
        <x:v>1</x:v>
      </x:c>
      <x:c r="G9" s="6" t="str">
        <x:v>보상 1회 수령</x:v>
      </x:c>
      <x:c r="H9" s="6" t="str">
        <x:v>보상을 1회 수령하세요</x:v>
      </x:c>
      <x:c r="I9" s="7" t="n">
        <x:v>0</x:v>
      </x:c>
      <x:c r="J9" s="7" t="n">
        <x:v>4</x:v>
      </x:c>
      <x:c r="K9" s="7" t="n">
        <x:v>0</x:v>
      </x:c>
      <x:c r="L9" s="6" t="str"/>
      <x:c r="M9" s="7" t="n">
        <x:v>0</x:v>
      </x:c>
      <x:c r="N9" s="6" t="str">
        <x:v>퇴역; 보상 수령을 일일 필수 조건에서 제외; 서버 catalog 동기화 대기</x:v>
      </x:c>
    </x:row>
    <x:row r="10" ht="24" hidden="0" customHeight="1">
      <x:c r="A10" s="7" t="n">
        <x:v>9</x:v>
      </x:c>
      <x:c r="B10" s="6" t="str">
        <x:v>daily.destroyCards3</x:v>
      </x:c>
      <x:c r="C10" s="7" t="n">
        <x:v>1</x:v>
      </x:c>
      <x:c r="D10" s="6" t="str">
        <x:v>daily</x:v>
      </x:c>
      <x:c r="E10" s="6" t="str">
        <x:v>DestroyCards</x:v>
      </x:c>
      <x:c r="F10" s="7" t="n">
        <x:v>3</x:v>
      </x:c>
      <x:c r="G10" s="6" t="str">
        <x:v>전투에서 상대 카드 3장 파괴</x:v>
      </x:c>
      <x:c r="H10" s="6" t="str">
        <x:v>전투에서 상대 카드를 3장 파괴하세요</x:v>
      </x:c>
      <x:c r="I10" s="7" t="n">
        <x:v>15</x:v>
      </x:c>
      <x:c r="J10" s="7" t="n">
        <x:v>3</x:v>
      </x:c>
      <x:c r="K10" s="7" t="n">
        <x:v>0</x:v>
      </x:c>
      <x:c r="L10" s="6" t="str"/>
      <x:c r="M10" s="7" t="n">
        <x:v>50</x:v>
      </x:c>
      <x:c r="N10" s="6" t="str">
        <x:v>모험 집계 연결 및 서버 catalog 동기화 대기</x:v>
      </x:c>
    </x:row>
    <x:row r="11" ht="24" hidden="0" customHeight="1">
      <x:c r="A11" s="7" t="n">
        <x:v>10</x:v>
      </x:c>
      <x:c r="B11" s="6" t="str">
        <x:v>daily.triggerSynergy2</x:v>
      </x:c>
      <x:c r="C11" s="7" t="n">
        <x:v>1</x:v>
      </x:c>
      <x:c r="D11" s="6" t="str">
        <x:v>daily</x:v>
      </x:c>
      <x:c r="E11" s="6" t="str">
        <x:v>TriggerSynergy</x:v>
      </x:c>
      <x:c r="F11" s="7" t="n">
        <x:v>2</x:v>
      </x:c>
      <x:c r="G11" s="6" t="str">
        <x:v>전투에서 시너지 2회 발동</x:v>
      </x:c>
      <x:c r="H11" s="6" t="str">
        <x:v>전투에서 시너지를 2회 발동하세요</x:v>
      </x:c>
      <x:c r="I11" s="7" t="n">
        <x:v>15</x:v>
      </x:c>
      <x:c r="J11" s="7" t="n">
        <x:v>5</x:v>
      </x:c>
      <x:c r="K11" s="7" t="n">
        <x:v>0</x:v>
      </x:c>
      <x:c r="L11" s="6" t="str"/>
      <x:c r="M11" s="7" t="n">
        <x:v>50</x:v>
      </x:c>
      <x:c r="N11" s="6" t="str">
        <x:v>모험 집계 연결 및 서버 catalog 동기화 대기</x:v>
      </x:c>
    </x:row>
    <x:row r="12" ht="24" hidden="0" customHeight="1">
      <x:c r="A12" s="7" t="n">
        <x:v>11</x:v>
      </x:c>
      <x:c r="B12" s="6" t="str">
        <x:v>daily.triggerKeyword2</x:v>
      </x:c>
      <x:c r="C12" s="7" t="n">
        <x:v>1</x:v>
      </x:c>
      <x:c r="D12" s="6" t="str">
        <x:v>daily</x:v>
      </x:c>
      <x:c r="E12" s="6" t="str">
        <x:v>TriggerKeyword</x:v>
      </x:c>
      <x:c r="F12" s="7" t="n">
        <x:v>2</x:v>
      </x:c>
      <x:c r="G12" s="6" t="str">
        <x:v>전투에서 키워드 2회 발동</x:v>
      </x:c>
      <x:c r="H12" s="6" t="str">
        <x:v>전투에서 키워드를 2회 발동하세요</x:v>
      </x:c>
      <x:c r="I12" s="7" t="n">
        <x:v>15</x:v>
      </x:c>
      <x:c r="J12" s="7" t="n">
        <x:v>4</x:v>
      </x:c>
      <x:c r="K12" s="7" t="n">
        <x:v>0</x:v>
      </x:c>
      <x:c r="L12" s="6" t="str"/>
      <x:c r="M12" s="7" t="n">
        <x:v>50</x:v>
      </x:c>
      <x:c r="N12" s="6" t="str">
        <x:v>모험 집계 연결 및 서버 catalog 동기화 대기</x:v>
      </x:c>
    </x:row>
    <x:row r="13" ht="15" hidden="0" customHeight="1">
      <x:c r="A13" s="7" t="n">
        <x:v>12</x:v>
      </x:c>
      <x:c r="B13" s="6" t="str">
        <x:v>weekly.attackTimes50</x:v>
      </x:c>
      <x:c r="C13" s="7" t="n">
        <x:v>0</x:v>
      </x:c>
      <x:c r="D13" s="6" t="str">
        <x:v>weekly</x:v>
      </x:c>
      <x:c r="E13" s="6" t="str">
        <x:v>AttackTimes</x:v>
      </x:c>
      <x:c r="F13" s="7" t="n">
        <x:v>50</x:v>
      </x:c>
      <x:c r="G13" s="6" t="str">
        <x:v>공격 50회 수행</x:v>
      </x:c>
      <x:c r="H13" s="6" t="str">
        <x:v>공격을 50회 수행하세요</x:v>
      </x:c>
      <x:c r="I13" s="7" t="n">
        <x:v>0</x:v>
      </x:c>
      <x:c r="J13" s="7" t="n">
        <x:v>5</x:v>
      </x:c>
      <x:c r="K13" s="7" t="n">
        <x:v>0</x:v>
      </x:c>
      <x:c r="L13" s="6" t="str"/>
      <x:c r="M13" s="7" t="n">
        <x:v>0</x:v>
      </x:c>
      <x:c r="N13" s="6" t="str">
        <x:v>퇴역; 전투 완료 미션으로 통합; 서버 catalog 동기화 대기</x:v>
      </x:c>
    </x:row>
    <x:row r="14" ht="24" hidden="0" customHeight="1">
      <x:c r="A14" s="7" t="n">
        <x:v>13</x:v>
      </x:c>
      <x:c r="B14" s="6" t="str">
        <x:v>daily.completeBattle5</x:v>
      </x:c>
      <x:c r="C14" s="7" t="n">
        <x:v>1</x:v>
      </x:c>
      <x:c r="D14" s="6" t="str">
        <x:v>daily</x:v>
      </x:c>
      <x:c r="E14" s="6" t="str">
        <x:v>EnhanceCard</x:v>
      </x:c>
      <x:c r="F14" s="7" t="n">
        <x:v>1</x:v>
      </x:c>
      <x:c r="G14" s="6" t="str">
        <x:v>카드 강화 1회 시도</x:v>
      </x:c>
      <x:c r="H14" s="6" t="str">
        <x:v>카드 강화를 1회 시도하세요</x:v>
      </x:c>
      <x:c r="I14" s="7" t="n">
        <x:v>20</x:v>
      </x:c>
      <x:c r="J14" s="7" t="n">
        <x:v>2</x:v>
      </x:c>
      <x:c r="K14" s="7" t="n">
        <x:v>0</x:v>
      </x:c>
      <x:c r="L14" s="6" t="str"/>
      <x:c r="M14" s="7" t="n">
        <x:v>50</x:v>
      </x:c>
      <x:c r="N14" s="6" t="str">
        <x:v>전투 5회 항목을 강화로 교체; 무료 강화와 실패한 시도 포함; 보상 참조와 수령 기록 보존을 위해 미션 고유키 유지</x:v>
      </x:c>
    </x:row>
    <x:row r="15" ht="15" hidden="0" customHeight="1">
      <x:c r="A15" s="7" t="n">
        <x:v>14</x:v>
      </x:c>
      <x:c r="B15" s="6" t="str">
        <x:v>weekly.completeBattle20</x:v>
      </x:c>
      <x:c r="C15" s="7" t="n">
        <x:v>1</x:v>
      </x:c>
      <x:c r="D15" s="6" t="str">
        <x:v>weekly</x:v>
      </x:c>
      <x:c r="E15" s="6" t="str">
        <x:v>CompleteBattle</x:v>
      </x:c>
      <x:c r="F15" s="7" t="n">
        <x:v>30</x:v>
      </x:c>
      <x:c r="G15" s="6" t="str">
        <x:v>전투 30회 완료</x:v>
      </x:c>
      <x:c r="H15" s="6" t="str">
        <x:v>전투를 30회 완료하세요</x:v>
      </x:c>
      <x:c r="I15" s="7" t="n">
        <x:v>30</x:v>
      </x:c>
      <x:c r="J15" s="7" t="n">
        <x:v>1</x:v>
      </x:c>
      <x:c r="K15" s="7" t="n">
        <x:v>0</x:v>
      </x:c>
      <x:c r="L15" s="6" t="str"/>
      <x:c r="M15" s="7" t="n">
        <x:v>200</x:v>
      </x:c>
      <x:c r="N15" s="6" t="str">
        <x:v>주간 누적; 패배 포함; 모험 집계 및 서버 catalog 등록 대기</x:v>
      </x:c>
    </x:row>
    <x:row r="16" ht="24" hidden="0" customHeight="1">
      <x:c r="A16" s="7" t="n">
        <x:v>15</x:v>
      </x:c>
      <x:c r="B16" s="6" t="str">
        <x:v>weekly.completeBattle35</x:v>
      </x:c>
      <x:c r="C16" s="7" t="n">
        <x:v>1</x:v>
      </x:c>
      <x:c r="D16" s="6" t="str">
        <x:v>weekly</x:v>
      </x:c>
      <x:c r="E16" s="6" t="str">
        <x:v>TriggerKeyword</x:v>
      </x:c>
      <x:c r="F16" s="7" t="n">
        <x:v>60</x:v>
      </x:c>
      <x:c r="G16" s="6" t="str">
        <x:v>전투에서 키워드 60회 발동</x:v>
      </x:c>
      <x:c r="H16" s="6" t="str">
        <x:v>전투에서 키워드를 60회 발동하세요</x:v>
      </x:c>
      <x:c r="I16" s="7" t="n">
        <x:v>40</x:v>
      </x:c>
      <x:c r="J16" s="7" t="n">
        <x:v>2</x:v>
      </x:c>
      <x:c r="K16" s="7" t="n">
        <x:v>0</x:v>
      </x:c>
      <x:c r="L16" s="6" t="str"/>
      <x:c r="M16" s="7" t="n">
        <x:v>200</x:v>
      </x:c>
      <x:c r="N16" s="6" t="str">
        <x:v>전투 35회 항목을 키워드 발동으로 교체; 보상 참조와 수령 기록 보존을 위해 미션 고유키 유지</x:v>
      </x:c>
    </x:row>
    <x:row r="17" ht="36" hidden="0" customHeight="1">
      <x:c r="A17" s="7" t="n">
        <x:v>16</x:v>
      </x:c>
      <x:c r="B17" s="6" t="str">
        <x:v>weekly.enhanceCard10</x:v>
      </x:c>
      <x:c r="C17" s="7" t="n">
        <x:v>1</x:v>
      </x:c>
      <x:c r="D17" s="6" t="str">
        <x:v>weekly</x:v>
      </x:c>
      <x:c r="E17" s="6" t="str">
        <x:v>SpendShard</x:v>
      </x:c>
      <x:c r="F17" s="7" t="n">
        <x:v>30</x:v>
      </x:c>
      <x:c r="G17" s="6" t="str">
        <x:v>조각 30개 소모</x:v>
      </x:c>
      <x:c r="H17" s="6" t="str">
        <x:v>카드 강화에 조각을 30개 소모하세요</x:v>
      </x:c>
      <x:c r="I17" s="7" t="n">
        <x:v>20</x:v>
      </x:c>
      <x:c r="J17" s="7" t="n">
        <x:v>4</x:v>
      </x:c>
      <x:c r="K17" s="7" t="n">
        <x:v>0</x:v>
      </x:c>
      <x:c r="L17" s="6" t="str"/>
      <x:c r="M17" s="7" t="n">
        <x:v>200</x:v>
      </x:c>
      <x:c r="N17" s="6" t="str">
        <x:v>실제 차감된 조각 수량 집계; 무료 강화 제외; 기존 강화 카운터 이관 없음; 보상 참조와 수령 기록 보존을 위해 미션 고유키 유지; 서버 반영 대기</x:v>
      </x:c>
    </x:row>
    <x:row r="18" ht="15" hidden="0" customHeight="1">
      <x:c r="A18" s="7" t="n">
        <x:v>17</x:v>
      </x:c>
      <x:c r="B18" s="6" t="str">
        <x:v>weekly.winBattle10</x:v>
      </x:c>
      <x:c r="C18" s="7" t="n">
        <x:v>1</x:v>
      </x:c>
      <x:c r="D18" s="6" t="str">
        <x:v>weekly</x:v>
      </x:c>
      <x:c r="E18" s="6" t="str">
        <x:v>WinBattle</x:v>
      </x:c>
      <x:c r="F18" s="7" t="n">
        <x:v>15</x:v>
      </x:c>
      <x:c r="G18" s="6" t="str">
        <x:v>전투 15회 승리</x:v>
      </x:c>
      <x:c r="H18" s="6" t="str">
        <x:v>전투에서 15회 승리하세요</x:v>
      </x:c>
      <x:c r="I18" s="7" t="n">
        <x:v>40</x:v>
      </x:c>
      <x:c r="J18" s="7" t="n">
        <x:v>5</x:v>
      </x:c>
      <x:c r="K18" s="7" t="n">
        <x:v>0</x:v>
      </x:c>
      <x:c r="L18" s="6" t="str"/>
      <x:c r="M18" s="7" t="n">
        <x:v>200</x:v>
      </x:c>
      <x:c r="N18" s="6" t="str">
        <x:v>예약 이벤트 WinBattle; 모험 포함 승리 집계 및 서버 catalog 등록 대기</x:v>
      </x:c>
    </x:row>
    <x:row r="19" ht="24" hidden="0" customHeight="1">
      <x:c r="A19" s="7" t="n">
        <x:v>18</x:v>
      </x:c>
      <x:c r="B19" s="6" t="str">
        <x:v>guide.02</x:v>
      </x:c>
      <x:c r="C19" s="7" t="n">
        <x:v>1</x:v>
      </x:c>
      <x:c r="D19" s="6" t="str">
        <x:v>guide</x:v>
      </x:c>
      <x:c r="E19" s="6" t="str">
        <x:v>Guide.Bronze2Reached</x:v>
      </x:c>
      <x:c r="F19" s="7" t="n">
        <x:v>1</x:v>
      </x:c>
      <x:c r="G19" s="6" t="str">
        <x:v>브론즈 2 이상 달성</x:v>
      </x:c>
      <x:c r="H19" s="6" t="str">
        <x:v>브론즈 2 이상을 달성하세요. 이전에 도달했다면 자동 인정합니다</x:v>
      </x:c>
      <x:c r="I19" s="7" t="n">
        <x:v>0</x:v>
      </x:c>
      <x:c r="J19" s="7" t="n">
        <x:v>2</x:v>
      </x:c>
      <x:c r="K19" s="7" t="n">
        <x:v>1</x:v>
      </x:c>
      <x:c r="L19" s="6" t="str">
        <x:v>출발</x:v>
      </x:c>
      <x:c r="M19" s="7" t="n">
        <x:v>100</x:v>
      </x:c>
      <x:c r="N19" s="6" t="str">
        <x:v>계정당 1회 순차 수령; 이전 성장 및 잠긴 단계 달성 인정; 구 조건 카운터 이관 없음</x:v>
      </x:c>
    </x:row>
    <x:row r="20" ht="24" hidden="0" customHeight="1">
      <x:c r="A20" s="7" t="n">
        <x:v>19</x:v>
      </x:c>
      <x:c r="B20" s="6" t="str">
        <x:v>guide.03</x:v>
      </x:c>
      <x:c r="C20" s="7" t="n">
        <x:v>1</x:v>
      </x:c>
      <x:c r="D20" s="6" t="str">
        <x:v>guide</x:v>
      </x:c>
      <x:c r="E20" s="6" t="str">
        <x:v>Guide.AdventureNode01</x:v>
      </x:c>
      <x:c r="F20" s="7" t="n">
        <x:v>1</x:v>
      </x:c>
      <x:c r="G20" s="6" t="str">
        <x:v>모험 1장 1번 클리어</x:v>
      </x:c>
      <x:c r="H20" s="6" t="str">
        <x:v>모험 1장 1번을 클리어하세요. 이미 클리어했다면 자동 인정합니다</x:v>
      </x:c>
      <x:c r="I20" s="7" t="n">
        <x:v>0</x:v>
      </x:c>
      <x:c r="J20" s="7" t="n">
        <x:v>3</x:v>
      </x:c>
      <x:c r="K20" s="7" t="n">
        <x:v>1</x:v>
      </x:c>
      <x:c r="L20" s="6" t="str">
        <x:v>출발</x:v>
      </x:c>
      <x:c r="M20" s="7" t="n">
        <x:v>100</x:v>
      </x:c>
      <x:c r="N20" s="6" t="str">
        <x:v>가이드 실행 대기; 서버 클리어 상태 소급 인정; 계정당 1회 순차 수령</x:v>
      </x:c>
    </x:row>
    <x:row r="21" ht="24" hidden="0" customHeight="1">
      <x:c r="A21" s="7" t="n">
        <x:v>20</x:v>
      </x:c>
      <x:c r="B21" s="6" t="str">
        <x:v>guide.04</x:v>
      </x:c>
      <x:c r="C21" s="7" t="n">
        <x:v>0</x:v>
      </x:c>
      <x:c r="D21" s="6" t="str">
        <x:v>guide</x:v>
      </x:c>
      <x:c r="E21" s="6" t="str">
        <x:v>Guide.StarterCardsAtStar1</x:v>
      </x:c>
      <x:c r="F21" s="7" t="n">
        <x:v>3</x:v>
      </x:c>
      <x:c r="G21" s="6" t="str">
        <x:v>별토리·솜구름몽·포슬램 모두 1성 이상</x:v>
      </x:c>
      <x:c r="H21" s="6" t="str">
        <x:v>별토리·솜구름몽·포슬램을 모두 보유하고 1성 이상으로 성장시키세요. 덱 편성 없이 이전 성장도 인정합니다</x:v>
      </x:c>
      <x:c r="I21" s="7" t="n">
        <x:v>0</x:v>
      </x:c>
      <x:c r="J21" s="7" t="n">
        <x:v>5</x:v>
      </x:c>
      <x:c r="K21" s="7" t="n">
        <x:v>2</x:v>
      </x:c>
      <x:c r="L21" s="6" t="str">
        <x:v>시너지 입문</x:v>
      </x:c>
      <x:c r="M21" s="7" t="n">
        <x:v>0</x:v>
      </x:c>
      <x:c r="N21" s="6" t="str">
        <x:v>퇴역; 시너지 입문 실전 미션 guide.16으로 대체; 기존 ID와 수령 기록 보존; 목록 및 순차 수령에서 제외</x:v>
      </x:c>
    </x:row>
    <x:row r="22" ht="24" hidden="0" customHeight="1">
      <x:c r="A22" s="7" t="n">
        <x:v>21</x:v>
      </x:c>
      <x:c r="B22" s="6" t="str">
        <x:v>guide.06</x:v>
      </x:c>
      <x:c r="C22" s="7" t="n">
        <x:v>1</x:v>
      </x:c>
      <x:c r="D22" s="6" t="str">
        <x:v>guide</x:v>
      </x:c>
      <x:c r="E22" s="6" t="str">
        <x:v>Guide.StarterCardsAtStar2</x:v>
      </x:c>
      <x:c r="F22" s="7" t="n">
        <x:v>3</x:v>
      </x:c>
      <x:c r="G22" s="6" t="str">
        <x:v>별토리·솜구름몽·포슬램 모두 2성 이상</x:v>
      </x:c>
      <x:c r="H22" s="6" t="str">
        <x:v>별토리·솜구름몽·포슬램을 모두 보유하고 2성 이상으로 성장시키세요. 덱 편성 없이 이전 성장도 인정합니다</x:v>
      </x:c>
      <x:c r="I22" s="7" t="n">
        <x:v>0</x:v>
      </x:c>
      <x:c r="J22" s="7" t="n">
        <x:v>5</x:v>
      </x:c>
      <x:c r="K22" s="7" t="n">
        <x:v>2</x:v>
      </x:c>
      <x:c r="L22" s="6" t="str">
        <x:v>시너지 입문</x:v>
      </x:c>
      <x:c r="M22" s="7" t="n">
        <x:v>100</x:v>
      </x:c>
      <x:c r="N22" s="6" t="str">
        <x:v>돌보미 전체에서 판정; 기존 이벤트 키와 달성 및 수령 기록 보존; 계정당 1회 순차 수령</x:v>
      </x:c>
    </x:row>
    <x:row r="23" ht="36" hidden="0" customHeight="1">
      <x:c r="A23" s="7" t="n">
        <x:v>22</x:v>
      </x:c>
      <x:c r="B23" s="6" t="str">
        <x:v>guide.07</x:v>
      </x:c>
      <x:c r="C23" s="7" t="n">
        <x:v>1</x:v>
      </x:c>
      <x:c r="D23" s="6" t="str">
        <x:v>guide</x:v>
      </x:c>
      <x:c r="E23" s="6" t="str">
        <x:v>Guide.AdventureNode02</x:v>
      </x:c>
      <x:c r="F23" s="7" t="n">
        <x:v>1</x:v>
      </x:c>
      <x:c r="G23" s="6" t="str">
        <x:v>모험 1장 2번 클리어</x:v>
      </x:c>
      <x:c r="H23" s="6" t="str">
        <x:v>모험 1장 2번의 원거리·도발 조합에 도전하세요. 막히면 별토리·솜구름몽·포슬램을 1성 이상으로 키워 덱을 바꿔보세요. 이미 클리어했다면 인정합니다</x:v>
      </x:c>
      <x:c r="I23" s="7" t="n">
        <x:v>0</x:v>
      </x:c>
      <x:c r="J23" s="7" t="n">
        <x:v>7</x:v>
      </x:c>
      <x:c r="K23" s="7" t="n">
        <x:v>2</x:v>
      </x:c>
      <x:c r="L23" s="6" t="str">
        <x:v>시너지 입문</x:v>
      </x:c>
      <x:c r="M23" s="7" t="n">
        <x:v>100</x:v>
      </x:c>
      <x:c r="N23" s="6" t="str">
        <x:v>정점 클리어만 판정; 깜밤이와 버섯냥 확정 지급; 계정당 1회 순차 수령</x:v>
      </x:c>
    </x:row>
    <x:row r="24" ht="48" hidden="0" customHeight="1">
      <x:c r="A24" s="7" t="n">
        <x:v>23</x:v>
      </x:c>
      <x:c r="B24" s="6" t="str">
        <x:v>guide.08</x:v>
      </x:c>
      <x:c r="C24" s="7" t="n">
        <x:v>1</x:v>
      </x:c>
      <x:c r="D24" s="6" t="str">
        <x:v>guide</x:v>
      </x:c>
      <x:c r="E24" s="6" t="str">
        <x:v>Guide.CaretakerTraceDeck</x:v>
      </x:c>
      <x:c r="F24" s="7" t="n">
        <x:v>2</x:v>
      </x:c>
      <x:c r="G24" s="6" t="str">
        <x:v>모두 2성 이상인 돌보미 3장·깜밤이·버섯냥을 같은 덱에 편성</x:v>
      </x:c>
      <x:c r="H24" s="6" t="str">
        <x:v>깜밤이와 버섯냥을 2성 이상으로 성장시키고 2성 이상 돌보미 3장과 함께 편성하세요. 미리 달성해도 인정합니다</x:v>
      </x:c>
      <x:c r="I24" s="7" t="n">
        <x:v>0</x:v>
      </x:c>
      <x:c r="J24" s="7" t="n">
        <x:v>8</x:v>
      </x:c>
      <x:c r="K24" s="7" t="n">
        <x:v>3</x:v>
      </x:c>
      <x:c r="L24" s="6" t="str">
        <x:v>두 가지 힘</x:v>
      </x:c>
      <x:c r="M24" s="7" t="n">
        <x:v>100</x:v>
      </x:c>
      <x:c r="N24" s="6" t="str">
        <x:v>가이드 실행 대기; 목표 2는 돌보미와 추적 조합 수; 잠긴 단계 달성도 기록; 완료 후 덱 변경으로 취소하지 않음</x:v>
      </x:c>
    </x:row>
    <x:row r="25" ht="24" hidden="0" customHeight="1">
      <x:c r="A25" s="7" t="n">
        <x:v>24</x:v>
      </x:c>
      <x:c r="B25" s="6" t="str">
        <x:v>guide.09</x:v>
      </x:c>
      <x:c r="C25" s="7" t="n">
        <x:v>1</x:v>
      </x:c>
      <x:c r="D25" s="6" t="str">
        <x:v>guide</x:v>
      </x:c>
      <x:c r="E25" s="6" t="str">
        <x:v>Guide.AdventureNode03</x:v>
      </x:c>
      <x:c r="F25" s="7" t="n">
        <x:v>1</x:v>
      </x:c>
      <x:c r="G25" s="6" t="str">
        <x:v>모험 1장 3번 클리어</x:v>
      </x:c>
      <x:c r="H25" s="6" t="str">
        <x:v>모험 1장 3번을 클리어하세요. 이미 클리어했다면 자동 인정합니다</x:v>
      </x:c>
      <x:c r="I25" s="7" t="n">
        <x:v>0</x:v>
      </x:c>
      <x:c r="J25" s="7" t="n">
        <x:v>9</x:v>
      </x:c>
      <x:c r="K25" s="7" t="n">
        <x:v>3</x:v>
      </x:c>
      <x:c r="L25" s="6" t="str">
        <x:v>두 가지 힘</x:v>
      </x:c>
      <x:c r="M25" s="7" t="n">
        <x:v>100</x:v>
      </x:c>
      <x:c r="N25" s="6" t="str">
        <x:v>가이드 실행 대기; 서버 클리어 상태 소급 인정; 계정당 1회 순차 수령</x:v>
      </x:c>
    </x:row>
    <x:row r="26" ht="24" hidden="0" customHeight="1">
      <x:c r="A26" s="7" t="n">
        <x:v>25</x:v>
      </x:c>
      <x:c r="B26" s="6" t="str">
        <x:v>guide.10</x:v>
      </x:c>
      <x:c r="C26" s="7" t="n">
        <x:v>1</x:v>
      </x:c>
      <x:c r="D26" s="6" t="str">
        <x:v>guide</x:v>
      </x:c>
      <x:c r="E26" s="6" t="str">
        <x:v>Guide.DeckCardsAtStar3</x:v>
      </x:c>
      <x:c r="F26" s="7" t="n">
        <x:v>1</x:v>
      </x:c>
      <x:c r="G26" s="6" t="str">
        <x:v>현재 덱에 3성 이상 카드 1장 편성</x:v>
      </x:c>
      <x:c r="H26" s="6" t="str">
        <x:v>현재 덱에 3성 카드 1장을 편성하세요. 앞서 키운 2성 카드 중 선택하며 미리 달성해도 인정합니다</x:v>
      </x:c>
      <x:c r="I26" s="7" t="n">
        <x:v>0</x:v>
      </x:c>
      <x:c r="J26" s="7" t="n">
        <x:v>11</x:v>
      </x:c>
      <x:c r="K26" s="7" t="n">
        <x:v>4</x:v>
      </x:c>
      <x:c r="L26" s="6" t="str">
        <x:v>에이스</x:v>
      </x:c>
      <x:c r="M26" s="7" t="n">
        <x:v>100</x:v>
      </x:c>
      <x:c r="N26" s="6" t="str">
        <x:v>가이드 실행 대기; 잠긴 단계 달성도 기록; 완료 후 덱 변경으로 취소하지 않음</x:v>
      </x:c>
    </x:row>
    <x:row r="27" ht="36" hidden="0" customHeight="1">
      <x:c r="A27" s="7" t="n">
        <x:v>26</x:v>
      </x:c>
      <x:c r="B27" s="6" t="str">
        <x:v>guide.11</x:v>
      </x:c>
      <x:c r="C27" s="7" t="n">
        <x:v>1</x:v>
      </x:c>
      <x:c r="D27" s="6" t="str">
        <x:v>guide</x:v>
      </x:c>
      <x:c r="E27" s="6" t="str">
        <x:v>Guide.AdventureNode04</x:v>
      </x:c>
      <x:c r="F27" s="7" t="n">
        <x:v>1</x:v>
      </x:c>
      <x:c r="G27" s="6" t="str">
        <x:v>모험 1장 4번 클리어</x:v>
      </x:c>
      <x:c r="H27" s="6" t="str">
        <x:v>모험 1장 4번의 돌보미 시너지에 도전하세요. 막히면 깜밤이 등 주력 카드 1장을 3성으로 키워 재도전하세요. 이미 클리어했다면 인정합니다</x:v>
      </x:c>
      <x:c r="I27" s="7" t="n">
        <x:v>0</x:v>
      </x:c>
      <x:c r="J27" s="7" t="n">
        <x:v>10</x:v>
      </x:c>
      <x:c r="K27" s="7" t="n">
        <x:v>4</x:v>
      </x:c>
      <x:c r="L27" s="6" t="str">
        <x:v>에이스</x:v>
      </x:c>
      <x:c r="M27" s="7" t="n">
        <x:v>100</x:v>
      </x:c>
      <x:c r="N27" s="6" t="str">
        <x:v>가이드 실행 대기; 정점 클리어만 판정; 계정당 1회 순차 수령</x:v>
      </x:c>
    </x:row>
    <x:row r="28" ht="24" hidden="0" customHeight="1">
      <x:c r="A28" s="7" t="n">
        <x:v>27</x:v>
      </x:c>
      <x:c r="B28" s="6" t="str">
        <x:v>guide.12</x:v>
      </x:c>
      <x:c r="C28" s="7" t="n">
        <x:v>1</x:v>
      </x:c>
      <x:c r="D28" s="6" t="str">
        <x:v>guide</x:v>
      </x:c>
      <x:c r="E28" s="6" t="str">
        <x:v>Guide.DeckCardsAtStar2</x:v>
      </x:c>
      <x:c r="F28" s="7" t="n">
        <x:v>6</x:v>
      </x:c>
      <x:c r="G28" s="6" t="str">
        <x:v>현재 덱 6장을 모두 2성 이상으로 성장</x:v>
      </x:c>
      <x:c r="H28" s="6" t="str">
        <x:v>현재 덱 6장을 모두 2성 이상으로 성장시키세요. 3성 카드와 미리 달성한 상태도 인정합니다</x:v>
      </x:c>
      <x:c r="I28" s="7" t="n">
        <x:v>0</x:v>
      </x:c>
      <x:c r="J28" s="7" t="n">
        <x:v>12</x:v>
      </x:c>
      <x:c r="K28" s="7" t="n">
        <x:v>4</x:v>
      </x:c>
      <x:c r="L28" s="6" t="str">
        <x:v>에이스</x:v>
      </x:c>
      <x:c r="M28" s="7" t="n">
        <x:v>100</x:v>
      </x:c>
      <x:c r="N28" s="6" t="str">
        <x:v>가이드 실행 대기; 잠긴 단계 달성도 기록; 완료 후 덱 변경으로 취소하지 않음</x:v>
      </x:c>
    </x:row>
    <x:row r="29" ht="24" hidden="0" customHeight="1">
      <x:c r="A29" s="7" t="n">
        <x:v>28</x:v>
      </x:c>
      <x:c r="B29" s="6" t="str">
        <x:v>guide.13</x:v>
      </x:c>
      <x:c r="C29" s="7" t="n">
        <x:v>1</x:v>
      </x:c>
      <x:c r="D29" s="6" t="str">
        <x:v>guide</x:v>
      </x:c>
      <x:c r="E29" s="6" t="str">
        <x:v>Guide.AdventureNode05</x:v>
      </x:c>
      <x:c r="F29" s="7" t="n">
        <x:v>1</x:v>
      </x:c>
      <x:c r="G29" s="6" t="str">
        <x:v>모험 1장 5번 클리어</x:v>
      </x:c>
      <x:c r="H29" s="6" t="str">
        <x:v>모험 1장 5번을 클리어하세요. 이미 클리어했다면 자동 인정합니다</x:v>
      </x:c>
      <x:c r="I29" s="7" t="n">
        <x:v>0</x:v>
      </x:c>
      <x:c r="J29" s="7" t="n">
        <x:v>13</x:v>
      </x:c>
      <x:c r="K29" s="7" t="n">
        <x:v>4</x:v>
      </x:c>
      <x:c r="L29" s="6" t="str">
        <x:v>에이스</x:v>
      </x:c>
      <x:c r="M29" s="7" t="n">
        <x:v>100</x:v>
      </x:c>
      <x:c r="N29" s="6" t="str">
        <x:v>가이드 실행 대기; 서버 클리어 상태 소급 인정; 계정당 1회 순차 수령</x:v>
      </x:c>
    </x:row>
    <x:row r="30" ht="36" hidden="0" customHeight="1">
      <x:c r="A30" s="7" t="n">
        <x:v>29</x:v>
      </x:c>
      <x:c r="B30" s="6" t="str">
        <x:v>guide.14</x:v>
      </x:c>
      <x:c r="C30" s="7" t="n">
        <x:v>1</x:v>
      </x:c>
      <x:c r="D30" s="6" t="str">
        <x:v>guide</x:v>
      </x:c>
      <x:c r="E30" s="6" t="str">
        <x:v>Guide.DeckCardsAtStar3</x:v>
      </x:c>
      <x:c r="F30" s="7" t="n">
        <x:v>2</x:v>
      </x:c>
      <x:c r="G30" s="6" t="str">
        <x:v>현재 덱에 서로 다른 3성 이상 카드 2장 편성</x:v>
      </x:c>
      <x:c r="H30" s="6" t="str">
        <x:v>현재 덱에 서로 다른 3성 카드 2장을 편성하세요. 미리 달성해도 인정합니다</x:v>
      </x:c>
      <x:c r="I30" s="7" t="n">
        <x:v>0</x:v>
      </x:c>
      <x:c r="J30" s="7" t="n">
        <x:v>14</x:v>
      </x:c>
      <x:c r="K30" s="7" t="n">
        <x:v>4</x:v>
      </x:c>
      <x:c r="L30" s="6" t="str">
        <x:v>에이스</x:v>
      </x:c>
      <x:c r="M30" s="7" t="n">
        <x:v>100</x:v>
      </x:c>
      <x:c r="N30" s="6" t="str">
        <x:v>가이드 실행 대기; 잠긴 단계 달성도 기록; 완료 후 덱 변경으로 취소하지 않음; 팩 지급 구현 대기</x:v>
      </x:c>
    </x:row>
    <x:row r="31" ht="24" hidden="0" customHeight="1">
      <x:c r="A31" s="7" t="n">
        <x:v>30</x:v>
      </x:c>
      <x:c r="B31" s="6" t="str">
        <x:v>guide.15</x:v>
      </x:c>
      <x:c r="C31" s="7" t="n">
        <x:v>1</x:v>
      </x:c>
      <x:c r="D31" s="6" t="str">
        <x:v>guide</x:v>
      </x:c>
      <x:c r="E31" s="6" t="str">
        <x:v>Guide.AdventureChapter01</x:v>
      </x:c>
      <x:c r="F31" s="7" t="n">
        <x:v>1</x:v>
      </x:c>
      <x:c r="G31" s="6" t="str">
        <x:v>모험 1장 6번 클리어</x:v>
      </x:c>
      <x:c r="H31" s="6" t="str">
        <x:v>모험 1장 6번을 클리어해 1장을 완료하세요. 이미 완료했다면 자동 인정합니다</x:v>
      </x:c>
      <x:c r="I31" s="7" t="n">
        <x:v>0</x:v>
      </x:c>
      <x:c r="J31" s="7" t="n">
        <x:v>15</x:v>
      </x:c>
      <x:c r="K31" s="7" t="n">
        <x:v>4</x:v>
      </x:c>
      <x:c r="L31" s="6" t="str">
        <x:v>에이스</x:v>
      </x:c>
      <x:c r="M31" s="7" t="n">
        <x:v>100</x:v>
      </x:c>
      <x:c r="N31" s="6" t="str">
        <x:v>가이드 실행 대기; 서버 클리어 상태 소급 인정; 계정당 1회 순차 수령</x:v>
      </x:c>
    </x:row>
    <x:row r="32" ht="24" hidden="0" customHeight="1">
      <x:c r="A32" s="7" t="n">
        <x:v>31</x:v>
      </x:c>
      <x:c r="B32" s="6" t="str">
        <x:v>daily.completeMissions5</x:v>
      </x:c>
      <x:c r="C32" s="7" t="n">
        <x:v>1</x:v>
      </x:c>
      <x:c r="D32" s="6" t="str">
        <x:v>daily</x:v>
      </x:c>
      <x:c r="E32" s="6" t="str">
        <x:v>CompleteDailyMissions</x:v>
      </x:c>
      <x:c r="F32" s="7" t="n">
        <x:v>5</x:v>
      </x:c>
      <x:c r="G32" s="6" t="str">
        <x:v>일일 미션 5개 완료</x:v>
      </x:c>
      <x:c r="H32" s="6" t="str">
        <x:v>일일 미션을 5개 완료하고 추가 보상을 받으세요</x:v>
      </x:c>
      <x:c r="I32" s="7" t="n">
        <x:v>0</x:v>
      </x:c>
      <x:c r="J32" s="7" t="n">
        <x:v>7</x:v>
      </x:c>
      <x:c r="K32" s="7" t="n">
        <x:v>0</x:v>
      </x:c>
      <x:c r="L32" s="6" t="str"/>
      <x:c r="M32" s="7" t="n">
        <x:v>50</x:v>
      </x:c>
      <x:c r="N32" s="6" t="str">
        <x:v>일일 일반 미션 달성 개수 집계; 개별 보상 수령 불필요; 누적 보상 자신 제외; 매일 1회</x:v>
      </x:c>
    </x:row>
    <x:row r="33" ht="24" hidden="0" customHeight="1">
      <x:c r="A33" s="7" t="n">
        <x:v>32</x:v>
      </x:c>
      <x:c r="B33" s="6" t="str">
        <x:v>weekly.completeMissions5</x:v>
      </x:c>
      <x:c r="C33" s="7" t="n">
        <x:v>1</x:v>
      </x:c>
      <x:c r="D33" s="6" t="str">
        <x:v>weekly</x:v>
      </x:c>
      <x:c r="E33" s="6" t="str">
        <x:v>CompleteWeeklyMissions</x:v>
      </x:c>
      <x:c r="F33" s="7" t="n">
        <x:v>5</x:v>
      </x:c>
      <x:c r="G33" s="6" t="str">
        <x:v>주간 미션 5개 완료</x:v>
      </x:c>
      <x:c r="H33" s="6" t="str">
        <x:v>주간 미션을 5개 완료하고 추가 보상을 받으세요</x:v>
      </x:c>
      <x:c r="I33" s="7" t="n">
        <x:v>0</x:v>
      </x:c>
      <x:c r="J33" s="7" t="n">
        <x:v>6</x:v>
      </x:c>
      <x:c r="K33" s="7" t="n">
        <x:v>0</x:v>
      </x:c>
      <x:c r="L33" s="6" t="str"/>
      <x:c r="M33" s="7" t="n">
        <x:v>200</x:v>
      </x:c>
      <x:c r="N33" s="6" t="str">
        <x:v>주간 일반 미션 달성 개수 집계; 개별 보상 수령 불필요; 누적 보상 자신 제외; 매주 1회</x:v>
      </x:c>
    </x:row>
    <x:row r="34" ht="24" hidden="0" customHeight="1">
      <x:c r="A34" s="7" t="n">
        <x:v>33</x:v>
      </x:c>
      <x:c r="B34" s="6" t="str">
        <x:v>guide.01</x:v>
      </x:c>
      <x:c r="C34" s="7" t="n">
        <x:v>1</x:v>
      </x:c>
      <x:c r="D34" s="6" t="str">
        <x:v>guide</x:v>
      </x:c>
      <x:c r="E34" s="6" t="str">
        <x:v>Guide.EnhanceCompleted</x:v>
      </x:c>
      <x:c r="F34" s="7" t="n">
        <x:v>1</x:v>
      </x:c>
      <x:c r="G34" s="6" t="str">
        <x:v>카드 강화 1회 완료</x:v>
      </x:c>
      <x:c r="H34" s="6" t="str">
        <x:v>보유 카드에 조각을 투입해 강화하세요. 이전 성장과 무료 강화도 인정합니다</x:v>
      </x:c>
      <x:c r="I34" s="7" t="n">
        <x:v>0</x:v>
      </x:c>
      <x:c r="J34" s="7" t="n">
        <x:v>1</x:v>
      </x:c>
      <x:c r="K34" s="7" t="n">
        <x:v>1</x:v>
      </x:c>
      <x:c r="L34" s="6" t="str">
        <x:v>출발</x:v>
      </x:c>
      <x:c r="M34" s="7" t="n">
        <x:v>100</x:v>
      </x:c>
      <x:c r="N34" s="6" t="str">
        <x:v>계정당 1회 순차 수령; 조각 진행도 또는 기본 레벨 초과로 판정; 간식·한계돌파만 진행한 상태 제외</x:v>
      </x:c>
    </x:row>
    <x:row r="35" ht="24" hidden="0" customHeight="1">
      <x:c r="A35" s="7" t="n">
        <x:v>34</x:v>
      </x:c>
      <x:c r="B35" s="6" t="str">
        <x:v>guide.05</x:v>
      </x:c>
      <x:c r="C35" s="7" t="n">
        <x:v>1</x:v>
      </x:c>
      <x:c r="D35" s="6" t="str">
        <x:v>guide</x:v>
      </x:c>
      <x:c r="E35" s="6" t="str">
        <x:v>Guide.EvolveCompleted</x:v>
      </x:c>
      <x:c r="F35" s="7" t="n">
        <x:v>1</x:v>
      </x:c>
      <x:c r="G35" s="6" t="str">
        <x:v>시너지 능력 해금</x:v>
      </x:c>
      <x:c r="H35" s="6" t="str">
        <x:v>보유 카드 1장을 2성까지 성장시켜 시너지를 해금하세요. 이미 2성 이상인 카드도 인정합니다.</x:v>
      </x:c>
      <x:c r="I35" s="7" t="n">
        <x:v>0</x:v>
      </x:c>
      <x:c r="J35" s="7" t="n">
        <x:v>4</x:v>
      </x:c>
      <x:c r="K35" s="7" t="n">
        <x:v>2</x:v>
      </x:c>
      <x:c r="L35" s="6" t="str">
        <x:v>시너지 입문</x:v>
      </x:c>
      <x:c r="M35" s="7" t="n">
        <x:v>100</x:v>
      </x:c>
      <x:c r="N35" s="6" t="str">
        <x:v>계정당 1회 순차 수령; 소유 카드 1장 이상 2성(레벨 3) 도달로 판정; 간식·한계돌파만 진행한 상태 제외</x:v>
      </x:c>
    </x:row>
    <x:row r="36" ht="24" hidden="0" customHeight="1">
      <x:c r="A36" s="7" t="n">
        <x:v>35</x:v>
      </x:c>
      <x:c r="B36" s="6" t="str">
        <x:v>guide.16</x:v>
      </x:c>
      <x:c r="C36" s="7" t="n">
        <x:v>1</x:v>
      </x:c>
      <x:c r="D36" s="6" t="str">
        <x:v>guide</x:v>
      </x:c>
      <x:c r="E36" s="6" t="str">
        <x:v>Guide.CompleteSynergyBattle</x:v>
      </x:c>
      <x:c r="F36" s="7" t="n">
        <x:v>1</x:v>
      </x:c>
      <x:c r="G36" s="6" t="str">
        <x:v>시너지 활성 덱으로 전투 1회 완료</x:v>
      </x:c>
      <x:c r="H36" s="6" t="str">
        <x:v>시너지를 활성화한 덱으로 랭크 또는 모험 전투를 1회 완료하세요. 이 미션 시작 후 진입한 전투만 승패와 관계없이 인정합니다</x:v>
      </x:c>
      <x:c r="I36" s="7" t="n">
        <x:v>0</x:v>
      </x:c>
      <x:c r="J36" s="7" t="n">
        <x:v>6</x:v>
      </x:c>
      <x:c r="K36" s="7" t="n">
        <x:v>2</x:v>
      </x:c>
      <x:c r="L36" s="6" t="str">
        <x:v>시너지 입문</x:v>
      </x:c>
      <x:c r="M36" s="7" t="n">
        <x:v>100</x:v>
      </x:c>
      <x:c r="N36" s="6" t="str">
        <x:v>계정당 1회 순차 수령; 서버 전투 시작 승인 시 활성 미션과 덱 시너지 판정; 정상 완료만 인정; 과거 전투 소급 및 중복 집계 없음</x:v>
      </x:c>
    </x:row>
    <x:row r="39">
      <x:c r="A39" t="str">
        <x:v>출처: docs/SpecData/Mission_sheet.csv / 2026-09-18 로컬 스냅샷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52" hidden="0" customWidth="1"/>
  </x:cols>
  <x:sheetData>
    <x:row r="1" ht="44" customHeight="1">
      <x:c r="A1" s="5" t="str">
        <x:v>id</x:v>
      </x:c>
      <x:c r="B1" s="5" t="str">
        <x:v>seasonId</x:v>
      </x:c>
      <x:c r="C1" s="5" t="str">
        <x:v>level</x:v>
      </x:c>
      <x:c r="D1" s="5" t="str">
        <x:v>requiredExp</x:v>
      </x:c>
      <x:c r="E1" s="5" t="str">
        <x:v>#memo</x:v>
      </x:c>
    </x:row>
    <x:row r="2" ht="15" hidden="0" customHeight="1">
      <x:c r="A2" s="7" t="n">
        <x:v>1</x:v>
      </x:c>
      <x:c r="B2" s="6" t="str">
        <x:v>S1</x:v>
      </x:c>
      <x:c r="C2" s="7" t="n">
        <x:v>1</x:v>
      </x:c>
      <x:c r="D2" s="7" t="n">
        <x:v>100</x:v>
      </x:c>
      <x:c r="E2" s="6" t="str">
        <x:v>시즌 1 레벨 1</x:v>
      </x:c>
    </x:row>
    <x:row r="3" ht="15" hidden="0" customHeight="1">
      <x:c r="A3" s="7" t="n">
        <x:v>2</x:v>
      </x:c>
      <x:c r="B3" s="6" t="str">
        <x:v>S1</x:v>
      </x:c>
      <x:c r="C3" s="7" t="n">
        <x:v>2</x:v>
      </x:c>
      <x:c r="D3" s="7" t="n">
        <x:v>250</x:v>
      </x:c>
      <x:c r="E3" s="6" t="str">
        <x:v>시즌 1 레벨 2</x:v>
      </x:c>
    </x:row>
    <x:row r="4" ht="15" hidden="0" customHeight="1">
      <x:c r="A4" s="7" t="n">
        <x:v>3</x:v>
      </x:c>
      <x:c r="B4" s="6" t="str">
        <x:v>S1</x:v>
      </x:c>
      <x:c r="C4" s="7" t="n">
        <x:v>3</x:v>
      </x:c>
      <x:c r="D4" s="7" t="n">
        <x:v>450</x:v>
      </x:c>
      <x:c r="E4" s="6" t="str">
        <x:v>시즌 1 레벨 3</x:v>
      </x:c>
    </x:row>
    <x:row r="5" ht="15" hidden="0" customHeight="1">
      <x:c r="A5" s="7" t="n">
        <x:v>4</x:v>
      </x:c>
      <x:c r="B5" s="6" t="str">
        <x:v>S1</x:v>
      </x:c>
      <x:c r="C5" s="7" t="n">
        <x:v>4</x:v>
      </x:c>
      <x:c r="D5" s="7" t="n">
        <x:v>700</x:v>
      </x:c>
      <x:c r="E5" s="6" t="str">
        <x:v>시즌 1 레벨 4</x:v>
      </x:c>
    </x:row>
    <x:row r="6" ht="15" hidden="0" customHeight="1">
      <x:c r="A6" s="7" t="n">
        <x:v>5</x:v>
      </x:c>
      <x:c r="B6" s="6" t="str">
        <x:v>S1</x:v>
      </x:c>
      <x:c r="C6" s="7" t="n">
        <x:v>5</x:v>
      </x:c>
      <x:c r="D6" s="7" t="n">
        <x:v>1000</x:v>
      </x:c>
      <x:c r="E6" s="6" t="str">
        <x:v>시즌 1 레벨 5</x:v>
      </x:c>
    </x:row>
    <x:row r="7" ht="15" hidden="0" customHeight="1">
      <x:c r="A7" s="7" t="n">
        <x:v>6</x:v>
      </x:c>
      <x:c r="B7" s="6" t="str">
        <x:v>S1</x:v>
      </x:c>
      <x:c r="C7" s="7" t="n">
        <x:v>6</x:v>
      </x:c>
      <x:c r="D7" s="7" t="n">
        <x:v>1300</x:v>
      </x:c>
      <x:c r="E7" s="6" t="str">
        <x:v>시즌 1 레벨 6</x:v>
      </x:c>
    </x:row>
    <x:row r="8" ht="15" hidden="0" customHeight="1">
      <x:c r="A8" s="7" t="n">
        <x:v>7</x:v>
      </x:c>
      <x:c r="B8" s="6" t="str">
        <x:v>S1</x:v>
      </x:c>
      <x:c r="C8" s="7" t="n">
        <x:v>7</x:v>
      </x:c>
      <x:c r="D8" s="7" t="n">
        <x:v>1650</x:v>
      </x:c>
      <x:c r="E8" s="6" t="str">
        <x:v>시즌 1 레벨 7</x:v>
      </x:c>
    </x:row>
    <x:row r="9" ht="15" hidden="0" customHeight="1">
      <x:c r="A9" s="7" t="n">
        <x:v>8</x:v>
      </x:c>
      <x:c r="B9" s="6" t="str">
        <x:v>S1</x:v>
      </x:c>
      <x:c r="C9" s="7" t="n">
        <x:v>8</x:v>
      </x:c>
      <x:c r="D9" s="7" t="n">
        <x:v>2050</x:v>
      </x:c>
      <x:c r="E9" s="6" t="str">
        <x:v>시즌 1 레벨 8</x:v>
      </x:c>
    </x:row>
    <x:row r="10" ht="15" hidden="0" customHeight="1">
      <x:c r="A10" s="7" t="n">
        <x:v>9</x:v>
      </x:c>
      <x:c r="B10" s="6" t="str">
        <x:v>S1</x:v>
      </x:c>
      <x:c r="C10" s="7" t="n">
        <x:v>9</x:v>
      </x:c>
      <x:c r="D10" s="7" t="n">
        <x:v>2500</x:v>
      </x:c>
      <x:c r="E10" s="6" t="str">
        <x:v>시즌 1 레벨 9</x:v>
      </x:c>
    </x:row>
    <x:row r="11" ht="15" hidden="0" customHeight="1">
      <x:c r="A11" s="7" t="n">
        <x:v>10</x:v>
      </x:c>
      <x:c r="B11" s="6" t="str">
        <x:v>S1</x:v>
      </x:c>
      <x:c r="C11" s="7" t="n">
        <x:v>10</x:v>
      </x:c>
      <x:c r="D11" s="7" t="n">
        <x:v>3000</x:v>
      </x:c>
      <x:c r="E11" s="6" t="str">
        <x:v>시즌 1 레벨 10</x:v>
      </x:c>
    </x:row>
    <x:row r="14">
      <x:c r="A14" t="str">
        <x:v>출처: docs/SpecData/PassLevel_sheet.csv / 2026-09-18 로컬 스냅샷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52" hidden="0" customWidth="1"/>
  </x:cols>
  <x:sheetData>
    <x:row r="1" ht="44" customHeight="1">
      <x:c r="A1" s="5" t="str">
        <x:v>id</x:v>
      </x:c>
      <x:c r="B1" s="5" t="str">
        <x:v>seasonId</x:v>
      </x:c>
      <x:c r="C1" s="5" t="str">
        <x:v>displayName</x:v>
      </x:c>
      <x:c r="D1" s="5" t="str">
        <x:v>startAtMs</x:v>
      </x:c>
      <x:c r="E1" s="5" t="str">
        <x:v>endAtMs</x:v>
      </x:c>
      <x:c r="F1" s="5" t="str">
        <x:v>maxLevel</x:v>
      </x:c>
      <x:c r="G1" s="5" t="str">
        <x:v>#memo</x:v>
      </x:c>
    </x:row>
    <x:row r="2" ht="15" hidden="0" customHeight="1">
      <x:c r="A2" s="7" t="n">
        <x:v>1</x:v>
      </x:c>
      <x:c r="B2" s="6" t="str">
        <x:v>S1</x:v>
      </x:c>
      <x:c r="C2" s="6" t="str">
        <x:v>시즌 1</x:v>
      </x:c>
      <x:c r="D2" s="7" t="n">
        <x:v>1788206400000</x:v>
      </x:c>
      <x:c r="E2" s="7" t="n">
        <x:v>1790798400000</x:v>
      </x:c>
      <x:c r="F2" s="7" t="n">
        <x:v>10</x:v>
      </x:c>
      <x:c r="G2" s="6" t="str">
        <x:v>2026-09-01 05:00 KST ~ 2026-10-01 05:00 KST</x:v>
      </x:c>
    </x:row>
    <x:row r="5">
      <x:c r="A5" t="str">
        <x:v>출처: docs/SpecData/PassSeason_sheet.csv / 2026-09-18 로컬 스냅샷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52" hidden="0" customWidth="1"/>
  </x:cols>
  <x:sheetData>
    <x:row r="1" ht="44" customHeight="1">
      <x:c r="A1" s="5" t="str">
        <x:v>id</x:v>
      </x:c>
      <x:c r="B1" s="5" t="str">
        <x:v>tierIndex</x:v>
      </x:c>
      <x:c r="C1" s="5" t="str">
        <x:v>battleKind</x:v>
      </x:c>
      <x:c r="D1" s="5" t="str">
        <x:v>deckId</x:v>
      </x:c>
      <x:c r="E1" s="5" t="str">
        <x:v>level1</x:v>
      </x:c>
      <x:c r="F1" s="5" t="str">
        <x:v>level2</x:v>
      </x:c>
      <x:c r="G1" s="5" t="str">
        <x:v>level3</x:v>
      </x:c>
      <x:c r="H1" s="5" t="str">
        <x:v>level4</x:v>
      </x:c>
      <x:c r="I1" s="5" t="str">
        <x:v>level5</x:v>
      </x:c>
      <x:c r="J1" s="5" t="str">
        <x:v>level6</x:v>
      </x:c>
      <x:c r="K1" s="5" t="str">
        <x:v>limitBreak1</x:v>
      </x:c>
      <x:c r="L1" s="5" t="str">
        <x:v>limitBreak2</x:v>
      </x:c>
      <x:c r="M1" s="5" t="str">
        <x:v>limitBreak3</x:v>
      </x:c>
      <x:c r="N1" s="5" t="str">
        <x:v>limitBreak4</x:v>
      </x:c>
      <x:c r="O1" s="5" t="str">
        <x:v>limitBreak5</x:v>
      </x:c>
      <x:c r="P1" s="5" t="str">
        <x:v>limitBreak6</x:v>
      </x:c>
      <x:c r="Q1" s="5" t="str">
        <x:v>highlightSlot</x:v>
      </x:c>
      <x:c r="R1" s="5" t="str">
        <x:v>#memo</x:v>
      </x:c>
    </x:row>
    <x:row r="2" ht="15" hidden="0" customHeight="1">
      <x:c r="A2" s="7" t="n">
        <x:v>10010</x:v>
      </x:c>
      <x:c r="B2" s="7" t="n">
        <x:v>0</x:v>
      </x:c>
      <x:c r="C2" s="6" t="str">
        <x:v>Normal</x:v>
      </x:c>
      <x:c r="D2" s="6" t="str">
        <x:v>deck_10</x:v>
      </x:c>
      <x:c r="E2" s="7" t="n">
        <x:v>1</x:v>
      </x:c>
      <x:c r="F2" s="7" t="n">
        <x:v>2</x:v>
      </x:c>
      <x:c r="G2" s="7" t="n">
        <x:v>1</x:v>
      </x:c>
      <x:c r="H2" s="7" t="n">
        <x:v>2</x:v>
      </x:c>
      <x:c r="I2" s="7" t="n">
        <x:v>1</x:v>
      </x:c>
      <x:c r="J2" s="7" t="n">
        <x:v>1</x:v>
      </x:c>
      <x:c r="K2" s="7" t="n">
        <x:v>0</x:v>
      </x:c>
      <x:c r="L2" s="7" t="n">
        <x:v>0</x:v>
      </x:c>
      <x:c r="M2" s="7" t="n">
        <x:v>0</x:v>
      </x:c>
      <x:c r="N2" s="7" t="n">
        <x:v>0</x:v>
      </x:c>
      <x:c r="O2" s="7" t="n">
        <x:v>0</x:v>
      </x:c>
      <x:c r="P2" s="7" t="n">
        <x:v>0</x:v>
      </x:c>
      <x:c r="Q2" s="7" t="n">
        <x:v>0</x:v>
      </x:c>
      <x:c r="R2" s="6" t="str">
        <x:v>초반 상향 / 무키워드 2장만 1성·효과 미해금</x:v>
      </x:c>
    </x:row>
    <x:row r="3" ht="15" hidden="0" customHeight="1">
      <x:c r="A3" s="7" t="n">
        <x:v>10011</x:v>
      </x:c>
      <x:c r="B3" s="7" t="n">
        <x:v>0</x:v>
      </x:c>
      <x:c r="C3" s="6" t="str">
        <x:v>Normal</x:v>
      </x:c>
      <x:c r="D3" s="6" t="str">
        <x:v>deck_11</x:v>
      </x:c>
      <x:c r="E3" s="7" t="n">
        <x:v>1</x:v>
      </x:c>
      <x:c r="F3" s="7" t="n">
        <x:v>2</x:v>
      </x:c>
      <x:c r="G3" s="7" t="n">
        <x:v>1</x:v>
      </x:c>
      <x:c r="H3" s="7" t="n">
        <x:v>2</x:v>
      </x:c>
      <x:c r="I3" s="7" t="n">
        <x:v>1</x:v>
      </x:c>
      <x:c r="J3" s="7" t="n">
        <x:v>1</x:v>
      </x:c>
      <x:c r="K3" s="7" t="n">
        <x:v>0</x:v>
      </x:c>
      <x:c r="L3" s="7" t="n">
        <x:v>0</x:v>
      </x:c>
      <x:c r="M3" s="7" t="n">
        <x:v>0</x:v>
      </x:c>
      <x:c r="N3" s="7" t="n">
        <x:v>0</x:v>
      </x:c>
      <x:c r="O3" s="7" t="n">
        <x:v>0</x:v>
      </x:c>
      <x:c r="P3" s="7" t="n">
        <x:v>0</x:v>
      </x:c>
      <x:c r="Q3" s="7" t="n">
        <x:v>0</x:v>
      </x:c>
      <x:c r="R3" s="6" t="str">
        <x:v>초반 상향 / 무키워드 2장만 1성·효과 미해금</x:v>
      </x:c>
    </x:row>
    <x:row r="4" ht="15" hidden="0" customHeight="1">
      <x:c r="A4" s="7" t="n">
        <x:v>10112</x:v>
      </x:c>
      <x:c r="B4" s="7" t="n">
        <x:v>1</x:v>
      </x:c>
      <x:c r="C4" s="6" t="str">
        <x:v>Normal</x:v>
      </x:c>
      <x:c r="D4" s="6" t="str">
        <x:v>deck_12</x:v>
      </x:c>
      <x:c r="E4" s="7" t="n">
        <x:v>2</x:v>
      </x:c>
      <x:c r="F4" s="7" t="n">
        <x:v>2</x:v>
      </x:c>
      <x:c r="G4" s="7" t="n">
        <x:v>2</x:v>
      </x:c>
      <x:c r="H4" s="7" t="n">
        <x:v>2</x:v>
      </x:c>
      <x:c r="I4" s="7" t="n">
        <x:v>2</x:v>
      </x:c>
      <x:c r="J4" s="7" t="n">
        <x:v>2</x:v>
      </x:c>
      <x:c r="K4" s="7" t="n">
        <x:v>0</x:v>
      </x:c>
      <x:c r="L4" s="7" t="n">
        <x:v>0</x:v>
      </x:c>
      <x:c r="M4" s="7" t="n">
        <x:v>0</x:v>
      </x:c>
      <x:c r="N4" s="7" t="n">
        <x:v>0</x:v>
      </x:c>
      <x:c r="O4" s="7" t="n">
        <x:v>0</x:v>
      </x:c>
      <x:c r="P4" s="7" t="n">
        <x:v>0</x:v>
      </x:c>
      <x:c r="Q4" s="7" t="n">
        <x:v>1</x:v>
      </x:c>
      <x:c r="R4" s="6" t="str">
        <x:v>초반 상향 / 시너지 해금·주력 성급을 앞당김</x:v>
      </x:c>
    </x:row>
    <x:row r="5" ht="15" hidden="0" customHeight="1">
      <x:c r="A5" s="7" t="n">
        <x:v>10113</x:v>
      </x:c>
      <x:c r="B5" s="7" t="n">
        <x:v>1</x:v>
      </x:c>
      <x:c r="C5" s="6" t="str">
        <x:v>Normal</x:v>
      </x:c>
      <x:c r="D5" s="6" t="str">
        <x:v>deck_13</x:v>
      </x:c>
      <x:c r="E5" s="7" t="n">
        <x:v>2</x:v>
      </x:c>
      <x:c r="F5" s="7" t="n">
        <x:v>2</x:v>
      </x:c>
      <x:c r="G5" s="7" t="n">
        <x:v>2</x:v>
      </x:c>
      <x:c r="H5" s="7" t="n">
        <x:v>2</x:v>
      </x:c>
      <x:c r="I5" s="7" t="n">
        <x:v>2</x:v>
      </x:c>
      <x:c r="J5" s="7" t="n">
        <x:v>2</x:v>
      </x:c>
      <x:c r="K5" s="7" t="n">
        <x:v>0</x:v>
      </x:c>
      <x:c r="L5" s="7" t="n">
        <x:v>0</x:v>
      </x:c>
      <x:c r="M5" s="7" t="n">
        <x:v>0</x:v>
      </x:c>
      <x:c r="N5" s="7" t="n">
        <x:v>0</x:v>
      </x:c>
      <x:c r="O5" s="7" t="n">
        <x:v>0</x:v>
      </x:c>
      <x:c r="P5" s="7" t="n">
        <x:v>0</x:v>
      </x:c>
      <x:c r="Q5" s="7" t="n">
        <x:v>4</x:v>
      </x:c>
      <x:c r="R5" s="6" t="str">
        <x:v>초반 상향 / 시너지 해금·주력 성급을 앞당김</x:v>
      </x:c>
    </x:row>
    <x:row r="6" ht="15" hidden="0" customHeight="1">
      <x:c r="A6" s="7" t="n">
        <x:v>10114</x:v>
      </x:c>
      <x:c r="B6" s="7" t="n">
        <x:v>1</x:v>
      </x:c>
      <x:c r="C6" s="6" t="str">
        <x:v>Normal</x:v>
      </x:c>
      <x:c r="D6" s="6" t="str">
        <x:v>deck_14</x:v>
      </x:c>
      <x:c r="E6" s="7" t="n">
        <x:v>2</x:v>
      </x:c>
      <x:c r="F6" s="7" t="n">
        <x:v>2</x:v>
      </x:c>
      <x:c r="G6" s="7" t="n">
        <x:v>2</x:v>
      </x:c>
      <x:c r="H6" s="7" t="n">
        <x:v>2</x:v>
      </x:c>
      <x:c r="I6" s="7" t="n">
        <x:v>2</x:v>
      </x:c>
      <x:c r="J6" s="7" t="n">
        <x:v>2</x:v>
      </x:c>
      <x:c r="K6" s="7" t="n">
        <x:v>0</x:v>
      </x:c>
      <x:c r="L6" s="7" t="n">
        <x:v>0</x:v>
      </x:c>
      <x:c r="M6" s="7" t="n">
        <x:v>0</x:v>
      </x:c>
      <x:c r="N6" s="7" t="n">
        <x:v>0</x:v>
      </x:c>
      <x:c r="O6" s="7" t="n">
        <x:v>0</x:v>
      </x:c>
      <x:c r="P6" s="7" t="n">
        <x:v>0</x:v>
      </x:c>
      <x:c r="Q6" s="7" t="n">
        <x:v>3</x:v>
      </x:c>
      <x:c r="R6" s="6" t="str">
        <x:v>초반 상향 / 시너지 해금·주력 성급을 앞당김</x:v>
      </x:c>
    </x:row>
    <x:row r="7" ht="15" hidden="0" customHeight="1">
      <x:c r="A7" s="7" t="n">
        <x:v>10212</x:v>
      </x:c>
      <x:c r="B7" s="7" t="n">
        <x:v>2</x:v>
      </x:c>
      <x:c r="C7" s="6" t="str">
        <x:v>Normal</x:v>
      </x:c>
      <x:c r="D7" s="6" t="str">
        <x:v>deck_12</x:v>
      </x:c>
      <x:c r="E7" s="7" t="n">
        <x:v>3</x:v>
      </x:c>
      <x:c r="F7" s="7" t="n">
        <x:v>3</x:v>
      </x:c>
      <x:c r="G7" s="7" t="n">
        <x:v>2</x:v>
      </x:c>
      <x:c r="H7" s="7" t="n">
        <x:v>3</x:v>
      </x:c>
      <x:c r="I7" s="7" t="n">
        <x:v>2</x:v>
      </x:c>
      <x:c r="J7" s="7" t="n">
        <x:v>2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1</x:v>
      </x:c>
      <x:c r="R7" s="6" t="str">
        <x:v>초반 상향 / 시너지 해금·주력 성급을 앞당김</x:v>
      </x:c>
    </x:row>
    <x:row r="8" ht="15" hidden="0" customHeight="1">
      <x:c r="A8" s="7" t="n">
        <x:v>10213</x:v>
      </x:c>
      <x:c r="B8" s="7" t="n">
        <x:v>2</x:v>
      </x:c>
      <x:c r="C8" s="6" t="str">
        <x:v>Normal</x:v>
      </x:c>
      <x:c r="D8" s="6" t="str">
        <x:v>deck_13</x:v>
      </x:c>
      <x:c r="E8" s="7" t="n">
        <x:v>3</x:v>
      </x:c>
      <x:c r="F8" s="7" t="n">
        <x:v>2</x:v>
      </x:c>
      <x:c r="G8" s="7" t="n">
        <x:v>3</x:v>
      </x:c>
      <x:c r="H8" s="7" t="n">
        <x:v>3</x:v>
      </x:c>
      <x:c r="I8" s="7" t="n">
        <x:v>3</x:v>
      </x:c>
      <x:c r="J8" s="7" t="n">
        <x:v>2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4</x:v>
      </x:c>
      <x:c r="R8" s="6" t="str">
        <x:v>초반 상향 / 시너지 해금·주력 성급을 앞당김</x:v>
      </x:c>
    </x:row>
    <x:row r="9" ht="15" hidden="0" customHeight="1">
      <x:c r="A9" s="7" t="n">
        <x:v>10214</x:v>
      </x:c>
      <x:c r="B9" s="7" t="n">
        <x:v>2</x:v>
      </x:c>
      <x:c r="C9" s="6" t="str">
        <x:v>Normal</x:v>
      </x:c>
      <x:c r="D9" s="6" t="str">
        <x:v>deck_14</x:v>
      </x:c>
      <x:c r="E9" s="7" t="n">
        <x:v>3</x:v>
      </x:c>
      <x:c r="F9" s="7" t="n">
        <x:v>2</x:v>
      </x:c>
      <x:c r="G9" s="7" t="n">
        <x:v>3</x:v>
      </x:c>
      <x:c r="H9" s="7" t="n">
        <x:v>3</x:v>
      </x:c>
      <x:c r="I9" s="7" t="n">
        <x:v>3</x:v>
      </x:c>
      <x:c r="J9" s="7" t="n">
        <x:v>2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3</x:v>
      </x:c>
      <x:c r="R9" s="6" t="str">
        <x:v>초반 상향 / 시너지 해금·주력 성급을 앞당김</x:v>
      </x:c>
    </x:row>
    <x:row r="10" ht="15" hidden="0" customHeight="1">
      <x:c r="A10" s="7" t="n">
        <x:v>10312</x:v>
      </x:c>
      <x:c r="B10" s="7" t="n">
        <x:v>3</x:v>
      </x:c>
      <x:c r="C10" s="6" t="str">
        <x:v>Normal</x:v>
      </x:c>
      <x:c r="D10" s="6" t="str">
        <x:v>deck_12</x:v>
      </x:c>
      <x:c r="E10" s="7" t="n">
        <x:v>3</x:v>
      </x:c>
      <x:c r="F10" s="7" t="n">
        <x:v>3</x:v>
      </x:c>
      <x:c r="G10" s="7" t="n">
        <x:v>3</x:v>
      </x:c>
      <x:c r="H10" s="7" t="n">
        <x:v>3</x:v>
      </x:c>
      <x:c r="I10" s="7" t="n">
        <x:v>3</x:v>
      </x:c>
      <x:c r="J10" s="7" t="n">
        <x:v>3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0</x:v>
      </x:c>
      <x:c r="P10" s="7" t="n">
        <x:v>0</x:v>
      </x:c>
      <x:c r="Q10" s="7" t="n">
        <x:v>1</x:v>
      </x:c>
      <x:c r="R10" s="6" t="str">
        <x:v>초반 상향 / 시너지 해금·주력 성급을 앞당김</x:v>
      </x:c>
    </x:row>
    <x:row r="11" ht="15" hidden="0" customHeight="1">
      <x:c r="A11" s="7" t="n">
        <x:v>10313</x:v>
      </x:c>
      <x:c r="B11" s="7" t="n">
        <x:v>3</x:v>
      </x:c>
      <x:c r="C11" s="6" t="str">
        <x:v>Normal</x:v>
      </x:c>
      <x:c r="D11" s="6" t="str">
        <x:v>deck_13</x:v>
      </x:c>
      <x:c r="E11" s="7" t="n">
        <x:v>3</x:v>
      </x:c>
      <x:c r="F11" s="7" t="n">
        <x:v>3</x:v>
      </x:c>
      <x:c r="G11" s="7" t="n">
        <x:v>3</x:v>
      </x:c>
      <x:c r="H11" s="7" t="n">
        <x:v>3</x:v>
      </x:c>
      <x:c r="I11" s="7" t="n">
        <x:v>3</x:v>
      </x:c>
      <x:c r="J11" s="7" t="n">
        <x:v>3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4</x:v>
      </x:c>
      <x:c r="R11" s="6" t="str">
        <x:v>초반 상향 / 시너지 해금·주력 성급을 앞당김</x:v>
      </x:c>
    </x:row>
    <x:row r="12" ht="15" hidden="0" customHeight="1">
      <x:c r="A12" s="7" t="n">
        <x:v>10314</x:v>
      </x:c>
      <x:c r="B12" s="7" t="n">
        <x:v>3</x:v>
      </x:c>
      <x:c r="C12" s="6" t="str">
        <x:v>Normal</x:v>
      </x:c>
      <x:c r="D12" s="6" t="str">
        <x:v>deck_14</x:v>
      </x:c>
      <x:c r="E12" s="7" t="n">
        <x:v>3</x:v>
      </x:c>
      <x:c r="F12" s="7" t="n">
        <x:v>3</x:v>
      </x:c>
      <x:c r="G12" s="7" t="n">
        <x:v>3</x:v>
      </x:c>
      <x:c r="H12" s="7" t="n">
        <x:v>3</x:v>
      </x:c>
      <x:c r="I12" s="7" t="n">
        <x:v>3</x:v>
      </x:c>
      <x:c r="J12" s="7" t="n">
        <x:v>3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3</x:v>
      </x:c>
      <x:c r="R12" s="6" t="str">
        <x:v>초반 상향 / 시너지 해금·주력 성급을 앞당김</x:v>
      </x:c>
    </x:row>
    <x:row r="13" ht="15" hidden="0" customHeight="1">
      <x:c r="A13" s="7" t="n">
        <x:v>10315</x:v>
      </x:c>
      <x:c r="B13" s="7" t="n">
        <x:v>3</x:v>
      </x:c>
      <x:c r="C13" s="6" t="str">
        <x:v>Normal</x:v>
      </x:c>
      <x:c r="D13" s="6" t="str">
        <x:v>deck_15</x:v>
      </x:c>
      <x:c r="E13" s="7" t="n">
        <x:v>3</x:v>
      </x:c>
      <x:c r="F13" s="7" t="n">
        <x:v>3</x:v>
      </x:c>
      <x:c r="G13" s="7" t="n">
        <x:v>3</x:v>
      </x:c>
      <x:c r="H13" s="7" t="n">
        <x:v>3</x:v>
      </x:c>
      <x:c r="I13" s="7" t="n">
        <x:v>3</x:v>
      </x:c>
      <x:c r="J13" s="7" t="n">
        <x:v>3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4</x:v>
      </x:c>
      <x:c r="R13" s="6" t="str">
        <x:v>초반 상향 / 시너지 해금·주력 성급을 앞당김</x:v>
      </x:c>
    </x:row>
    <x:row r="14" ht="15" hidden="0" customHeight="1">
      <x:c r="A14" s="7" t="n">
        <x:v>10316</x:v>
      </x:c>
      <x:c r="B14" s="7" t="n">
        <x:v>3</x:v>
      </x:c>
      <x:c r="C14" s="6" t="str">
        <x:v>Normal</x:v>
      </x:c>
      <x:c r="D14" s="6" t="str">
        <x:v>deck_16</x:v>
      </x:c>
      <x:c r="E14" s="7" t="n">
        <x:v>3</x:v>
      </x:c>
      <x:c r="F14" s="7" t="n">
        <x:v>3</x:v>
      </x:c>
      <x:c r="G14" s="7" t="n">
        <x:v>3</x:v>
      </x:c>
      <x:c r="H14" s="7" t="n">
        <x:v>3</x:v>
      </x:c>
      <x:c r="I14" s="7" t="n">
        <x:v>3</x:v>
      </x:c>
      <x:c r="J14" s="7" t="n">
        <x:v>3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0</x:v>
      </x:c>
      <x:c r="P14" s="7" t="n">
        <x:v>0</x:v>
      </x:c>
      <x:c r="Q14" s="7" t="n">
        <x:v>4</x:v>
      </x:c>
      <x:c r="R14" s="6" t="str">
        <x:v>초반 상향 / 시너지 해금·주력 성급을 앞당김</x:v>
      </x:c>
    </x:row>
    <x:row r="15" ht="15" hidden="0" customHeight="1">
      <x:c r="A15" s="7" t="n">
        <x:v>10412</x:v>
      </x:c>
      <x:c r="B15" s="7" t="n">
        <x:v>4</x:v>
      </x:c>
      <x:c r="C15" s="6" t="str">
        <x:v>Normal</x:v>
      </x:c>
      <x:c r="D15" s="6" t="str">
        <x:v>deck_12</x:v>
      </x:c>
      <x:c r="E15" s="7" t="n">
        <x:v>4</x:v>
      </x:c>
      <x:c r="F15" s="7" t="n">
        <x:v>4</x:v>
      </x:c>
      <x:c r="G15" s="7" t="n">
        <x:v>3</x:v>
      </x:c>
      <x:c r="H15" s="7" t="n">
        <x:v>3</x:v>
      </x:c>
      <x:c r="I15" s="7" t="n">
        <x:v>3</x:v>
      </x:c>
      <x:c r="J15" s="7" t="n">
        <x:v>3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1</x:v>
      </x:c>
      <x:c r="R15" s="6" t="str">
        <x:v>초반 상향 / 시너지 해금·주력 성급을 앞당김</x:v>
      </x:c>
    </x:row>
    <x:row r="16" ht="15" hidden="0" customHeight="1">
      <x:c r="A16" s="7" t="n">
        <x:v>10413</x:v>
      </x:c>
      <x:c r="B16" s="7" t="n">
        <x:v>4</x:v>
      </x:c>
      <x:c r="C16" s="6" t="str">
        <x:v>Normal</x:v>
      </x:c>
      <x:c r="D16" s="6" t="str">
        <x:v>deck_13</x:v>
      </x:c>
      <x:c r="E16" s="7" t="n">
        <x:v>4</x:v>
      </x:c>
      <x:c r="F16" s="7" t="n">
        <x:v>3</x:v>
      </x:c>
      <x:c r="G16" s="7" t="n">
        <x:v>3</x:v>
      </x:c>
      <x:c r="H16" s="7" t="n">
        <x:v>4</x:v>
      </x:c>
      <x:c r="I16" s="7" t="n">
        <x:v>3</x:v>
      </x:c>
      <x:c r="J16" s="7" t="n">
        <x:v>3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4</x:v>
      </x:c>
      <x:c r="R16" s="6" t="str">
        <x:v>초반 상향 / 시너지 해금·주력 성급을 앞당김</x:v>
      </x:c>
    </x:row>
    <x:row r="17" ht="15" hidden="0" customHeight="1">
      <x:c r="A17" s="7" t="n">
        <x:v>10414</x:v>
      </x:c>
      <x:c r="B17" s="7" t="n">
        <x:v>4</x:v>
      </x:c>
      <x:c r="C17" s="6" t="str">
        <x:v>Normal</x:v>
      </x:c>
      <x:c r="D17" s="6" t="str">
        <x:v>deck_14</x:v>
      </x:c>
      <x:c r="E17" s="7" t="n">
        <x:v>4</x:v>
      </x:c>
      <x:c r="F17" s="7" t="n">
        <x:v>3</x:v>
      </x:c>
      <x:c r="G17" s="7" t="n">
        <x:v>4</x:v>
      </x:c>
      <x:c r="H17" s="7" t="n">
        <x:v>3</x:v>
      </x:c>
      <x:c r="I17" s="7" t="n">
        <x:v>3</x:v>
      </x:c>
      <x:c r="J17" s="7" t="n">
        <x:v>3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3</x:v>
      </x:c>
      <x:c r="R17" s="6" t="str">
        <x:v>초반 상향 / 시너지 해금·주력 성급을 앞당김</x:v>
      </x:c>
    </x:row>
    <x:row r="18" ht="15" hidden="0" customHeight="1">
      <x:c r="A18" s="7" t="n">
        <x:v>10415</x:v>
      </x:c>
      <x:c r="B18" s="7" t="n">
        <x:v>4</x:v>
      </x:c>
      <x:c r="C18" s="6" t="str">
        <x:v>Normal</x:v>
      </x:c>
      <x:c r="D18" s="6" t="str">
        <x:v>deck_15</x:v>
      </x:c>
      <x:c r="E18" s="7" t="n">
        <x:v>4</x:v>
      </x:c>
      <x:c r="F18" s="7" t="n">
        <x:v>3</x:v>
      </x:c>
      <x:c r="G18" s="7" t="n">
        <x:v>3</x:v>
      </x:c>
      <x:c r="H18" s="7" t="n">
        <x:v>4</x:v>
      </x:c>
      <x:c r="I18" s="7" t="n">
        <x:v>3</x:v>
      </x:c>
      <x:c r="J18" s="7" t="n">
        <x:v>3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4</x:v>
      </x:c>
      <x:c r="R18" s="6" t="str">
        <x:v>초반 상향 / 시너지 해금·주력 성급을 앞당김</x:v>
      </x:c>
    </x:row>
    <x:row r="19" ht="15" hidden="0" customHeight="1">
      <x:c r="A19" s="7" t="n">
        <x:v>10416</x:v>
      </x:c>
      <x:c r="B19" s="7" t="n">
        <x:v>4</x:v>
      </x:c>
      <x:c r="C19" s="6" t="str">
        <x:v>Normal</x:v>
      </x:c>
      <x:c r="D19" s="6" t="str">
        <x:v>deck_16</x:v>
      </x:c>
      <x:c r="E19" s="7" t="n">
        <x:v>4</x:v>
      </x:c>
      <x:c r="F19" s="7" t="n">
        <x:v>3</x:v>
      </x:c>
      <x:c r="G19" s="7" t="n">
        <x:v>3</x:v>
      </x:c>
      <x:c r="H19" s="7" t="n">
        <x:v>4</x:v>
      </x:c>
      <x:c r="I19" s="7" t="n">
        <x:v>3</x:v>
      </x:c>
      <x:c r="J19" s="7" t="n">
        <x:v>3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0</x:v>
      </x:c>
      <x:c r="P19" s="7" t="n">
        <x:v>0</x:v>
      </x:c>
      <x:c r="Q19" s="7" t="n">
        <x:v>4</x:v>
      </x:c>
      <x:c r="R19" s="6" t="str">
        <x:v>초반 상향 / 시너지 해금·주력 성급을 앞당김</x:v>
      </x:c>
    </x:row>
    <x:row r="20" ht="15" hidden="0" customHeight="1">
      <x:c r="A20" s="7" t="n">
        <x:v>10512</x:v>
      </x:c>
      <x:c r="B20" s="7" t="n">
        <x:v>5</x:v>
      </x:c>
      <x:c r="C20" s="6" t="str">
        <x:v>Normal</x:v>
      </x:c>
      <x:c r="D20" s="6" t="str">
        <x:v>deck_12</x:v>
      </x:c>
      <x:c r="E20" s="7" t="n">
        <x:v>4</x:v>
      </x:c>
      <x:c r="F20" s="7" t="n">
        <x:v>4</x:v>
      </x:c>
      <x:c r="G20" s="7" t="n">
        <x:v>3</x:v>
      </x:c>
      <x:c r="H20" s="7" t="n">
        <x:v>3</x:v>
      </x:c>
      <x:c r="I20" s="7" t="n">
        <x:v>3</x:v>
      </x:c>
      <x:c r="J20" s="7" t="n">
        <x:v>3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1</x:v>
      </x:c>
      <x:c r="R20" s="6" t="str">
        <x:v>초반 상향 / 시너지 해금·주력 성급을 앞당김</x:v>
      </x:c>
    </x:row>
    <x:row r="21" ht="15" hidden="0" customHeight="1">
      <x:c r="A21" s="7" t="n">
        <x:v>10513</x:v>
      </x:c>
      <x:c r="B21" s="7" t="n">
        <x:v>5</x:v>
      </x:c>
      <x:c r="C21" s="6" t="str">
        <x:v>Normal</x:v>
      </x:c>
      <x:c r="D21" s="6" t="str">
        <x:v>deck_13</x:v>
      </x:c>
      <x:c r="E21" s="7" t="n">
        <x:v>4</x:v>
      </x:c>
      <x:c r="F21" s="7" t="n">
        <x:v>3</x:v>
      </x:c>
      <x:c r="G21" s="7" t="n">
        <x:v>3</x:v>
      </x:c>
      <x:c r="H21" s="7" t="n">
        <x:v>4</x:v>
      </x:c>
      <x:c r="I21" s="7" t="n">
        <x:v>3</x:v>
      </x:c>
      <x:c r="J21" s="7" t="n">
        <x:v>3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4</x:v>
      </x:c>
      <x:c r="R21" s="6" t="str">
        <x:v>초반 상향 / 시너지 해금·주력 성급을 앞당김</x:v>
      </x:c>
    </x:row>
    <x:row r="22" ht="15" hidden="0" customHeight="1">
      <x:c r="A22" s="7" t="n">
        <x:v>10514</x:v>
      </x:c>
      <x:c r="B22" s="7" t="n">
        <x:v>5</x:v>
      </x:c>
      <x:c r="C22" s="6" t="str">
        <x:v>Normal</x:v>
      </x:c>
      <x:c r="D22" s="6" t="str">
        <x:v>deck_14</x:v>
      </x:c>
      <x:c r="E22" s="7" t="n">
        <x:v>4</x:v>
      </x:c>
      <x:c r="F22" s="7" t="n">
        <x:v>3</x:v>
      </x:c>
      <x:c r="G22" s="7" t="n">
        <x:v>4</x:v>
      </x:c>
      <x:c r="H22" s="7" t="n">
        <x:v>3</x:v>
      </x:c>
      <x:c r="I22" s="7" t="n">
        <x:v>3</x:v>
      </x:c>
      <x:c r="J22" s="7" t="n">
        <x:v>3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3</x:v>
      </x:c>
      <x:c r="R22" s="6" t="str">
        <x:v>초반 상향 / 시너지 해금·주력 성급을 앞당김</x:v>
      </x:c>
    </x:row>
    <x:row r="23" ht="15" hidden="0" customHeight="1">
      <x:c r="A23" s="7" t="n">
        <x:v>10515</x:v>
      </x:c>
      <x:c r="B23" s="7" t="n">
        <x:v>5</x:v>
      </x:c>
      <x:c r="C23" s="6" t="str">
        <x:v>Normal</x:v>
      </x:c>
      <x:c r="D23" s="6" t="str">
        <x:v>deck_15</x:v>
      </x:c>
      <x:c r="E23" s="7" t="n">
        <x:v>4</x:v>
      </x:c>
      <x:c r="F23" s="7" t="n">
        <x:v>3</x:v>
      </x:c>
      <x:c r="G23" s="7" t="n">
        <x:v>3</x:v>
      </x:c>
      <x:c r="H23" s="7" t="n">
        <x:v>4</x:v>
      </x:c>
      <x:c r="I23" s="7" t="n">
        <x:v>3</x:v>
      </x:c>
      <x:c r="J23" s="7" t="n">
        <x:v>3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4</x:v>
      </x:c>
      <x:c r="R23" s="6" t="str">
        <x:v>초반 상향 / 시너지 해금·주력 성급을 앞당김</x:v>
      </x:c>
    </x:row>
    <x:row r="24" ht="15" hidden="0" customHeight="1">
      <x:c r="A24" s="7" t="n">
        <x:v>10516</x:v>
      </x:c>
      <x:c r="B24" s="7" t="n">
        <x:v>5</x:v>
      </x:c>
      <x:c r="C24" s="6" t="str">
        <x:v>Normal</x:v>
      </x:c>
      <x:c r="D24" s="6" t="str">
        <x:v>deck_16</x:v>
      </x:c>
      <x:c r="E24" s="7" t="n">
        <x:v>4</x:v>
      </x:c>
      <x:c r="F24" s="7" t="n">
        <x:v>3</x:v>
      </x:c>
      <x:c r="G24" s="7" t="n">
        <x:v>3</x:v>
      </x:c>
      <x:c r="H24" s="7" t="n">
        <x:v>4</x:v>
      </x:c>
      <x:c r="I24" s="7" t="n">
        <x:v>3</x:v>
      </x:c>
      <x:c r="J24" s="7" t="n">
        <x:v>3</x:v>
      </x:c>
      <x:c r="K24" s="7" t="n">
        <x:v>0</x:v>
      </x:c>
      <x:c r="L24" s="7" t="n">
        <x:v>0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4</x:v>
      </x:c>
      <x:c r="R24" s="6" t="str">
        <x:v>초반 상향 / 시너지 해금·주력 성급을 앞당김</x:v>
      </x:c>
    </x:row>
    <x:row r="25" ht="24" hidden="0" customHeight="1">
      <x:c r="A25" s="7" t="n">
        <x:v>10615</x:v>
      </x:c>
      <x:c r="B25" s="7" t="n">
        <x:v>6</x:v>
      </x:c>
      <x:c r="C25" s="6" t="str">
        <x:v>Normal</x:v>
      </x:c>
      <x:c r="D25" s="6" t="str">
        <x:v>deck_15</x:v>
      </x:c>
      <x:c r="E25" s="7" t="n">
        <x:v>4</x:v>
      </x:c>
      <x:c r="F25" s="7" t="n">
        <x:v>3</x:v>
      </x:c>
      <x:c r="G25" s="7" t="n">
        <x:v>3</x:v>
      </x:c>
      <x:c r="H25" s="7" t="n">
        <x:v>4</x:v>
      </x:c>
      <x:c r="I25" s="7" t="n">
        <x:v>3</x:v>
      </x:c>
      <x:c r="J25" s="7" t="n">
        <x:v>3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4</x:v>
      </x:c>
      <x:c r="R25" s="6" t="str">
        <x:v>처형 추격대 / 에이스 찌릿핀 / 성장 수단 확장 대비 상향안·실전 미검증</x:v>
      </x:c>
    </x:row>
    <x:row r="26" ht="24" hidden="0" customHeight="1">
      <x:c r="A26" s="7" t="n">
        <x:v>10616</x:v>
      </x:c>
      <x:c r="B26" s="7" t="n">
        <x:v>6</x:v>
      </x:c>
      <x:c r="C26" s="6" t="str">
        <x:v>Normal</x:v>
      </x:c>
      <x:c r="D26" s="6" t="str">
        <x:v>deck_16</x:v>
      </x:c>
      <x:c r="E26" s="7" t="n">
        <x:v>4</x:v>
      </x:c>
      <x:c r="F26" s="7" t="n">
        <x:v>3</x:v>
      </x:c>
      <x:c r="G26" s="7" t="n">
        <x:v>3</x:v>
      </x:c>
      <x:c r="H26" s="7" t="n">
        <x:v>4</x:v>
      </x:c>
      <x:c r="I26" s="7" t="n">
        <x:v>3</x:v>
      </x:c>
      <x:c r="J26" s="7" t="n">
        <x:v>3</x:v>
      </x:c>
      <x:c r="K26" s="7" t="n">
        <x:v>0</x:v>
      </x:c>
      <x:c r="L26" s="7" t="n">
        <x:v>0</x:v>
      </x:c>
      <x:c r="M26" s="7" t="n">
        <x:v>0</x:v>
      </x:c>
      <x:c r="N26" s="7" t="n">
        <x:v>0</x:v>
      </x:c>
      <x:c r="O26" s="7" t="n">
        <x:v>0</x:v>
      </x:c>
      <x:c r="P26" s="7" t="n">
        <x:v>0</x:v>
      </x:c>
      <x:c r="Q26" s="7" t="n">
        <x:v>4</x:v>
      </x:c>
      <x:c r="R26" s="6" t="str">
        <x:v>돌보미 치유대 / 에이스 파도리 / 성장 수단 확장 대비 상향안·실전 미검증</x:v>
      </x:c>
    </x:row>
    <x:row r="27" ht="24" hidden="0" customHeight="1">
      <x:c r="A27" s="7" t="n">
        <x:v>10617</x:v>
      </x:c>
      <x:c r="B27" s="7" t="n">
        <x:v>6</x:v>
      </x:c>
      <x:c r="C27" s="6" t="str">
        <x:v>Normal</x:v>
      </x:c>
      <x:c r="D27" s="6" t="str">
        <x:v>deck_17</x:v>
      </x:c>
      <x:c r="E27" s="7" t="n">
        <x:v>4</x:v>
      </x:c>
      <x:c r="F27" s="7" t="n">
        <x:v>3</x:v>
      </x:c>
      <x:c r="G27" s="7" t="n">
        <x:v>3</x:v>
      </x:c>
      <x:c r="H27" s="7" t="n">
        <x:v>4</x:v>
      </x:c>
      <x:c r="I27" s="7" t="n">
        <x:v>3</x:v>
      </x:c>
      <x:c r="J27" s="7" t="n">
        <x:v>3</x:v>
      </x:c>
      <x:c r="K27" s="7" t="n">
        <x:v>0</x:v>
      </x:c>
      <x:c r="L27" s="7" t="n">
        <x:v>0</x:v>
      </x:c>
      <x:c r="M27" s="7" t="n">
        <x:v>0</x:v>
      </x:c>
      <x:c r="N27" s="7" t="n">
        <x:v>0</x:v>
      </x:c>
      <x:c r="O27" s="7" t="n">
        <x:v>0</x:v>
      </x:c>
      <x:c r="P27" s="7" t="n">
        <x:v>0</x:v>
      </x:c>
      <x:c r="Q27" s="7" t="n">
        <x:v>4</x:v>
      </x:c>
      <x:c r="R27" s="6" t="str">
        <x:v>흐름 순환대 / 에이스 찌릿핀 / 성장 수단 확장 대비 상향안·실전 미검증</x:v>
      </x:c>
    </x:row>
    <x:row r="28" ht="24" hidden="0" customHeight="1">
      <x:c r="A28" s="7" t="n">
        <x:v>10618</x:v>
      </x:c>
      <x:c r="B28" s="7" t="n">
        <x:v>6</x:v>
      </x:c>
      <x:c r="C28" s="6" t="str">
        <x:v>Normal</x:v>
      </x:c>
      <x:c r="D28" s="6" t="str">
        <x:v>deck_18</x:v>
      </x:c>
      <x:c r="E28" s="7" t="n">
        <x:v>4</x:v>
      </x:c>
      <x:c r="F28" s="7" t="n">
        <x:v>3</x:v>
      </x:c>
      <x:c r="G28" s="7" t="n">
        <x:v>3</x:v>
      </x:c>
      <x:c r="H28" s="7" t="n">
        <x:v>4</x:v>
      </x:c>
      <x:c r="I28" s="7" t="n">
        <x:v>3</x:v>
      </x:c>
      <x:c r="J28" s="7" t="n">
        <x:v>3</x:v>
      </x:c>
      <x:c r="K28" s="7" t="n">
        <x:v>0</x:v>
      </x:c>
      <x:c r="L28" s="7" t="n">
        <x:v>0</x:v>
      </x:c>
      <x:c r="M28" s="7" t="n">
        <x:v>0</x:v>
      </x:c>
      <x:c r="N28" s="7" t="n">
        <x:v>0</x:v>
      </x:c>
      <x:c r="O28" s="7" t="n">
        <x:v>0</x:v>
      </x:c>
      <x:c r="P28" s="7" t="n">
        <x:v>0</x:v>
      </x:c>
      <x:c r="Q28" s="7" t="n">
        <x:v>4</x:v>
      </x:c>
      <x:c r="R28" s="6" t="str">
        <x:v>무쌍 돌격대 / 에이스 대장부리 / 성장 수단 확장 대비 상향안·실전 미검증</x:v>
      </x:c>
    </x:row>
    <x:row r="29" ht="24" hidden="0" customHeight="1">
      <x:c r="A29" s="7" t="n">
        <x:v>10719</x:v>
      </x:c>
      <x:c r="B29" s="7" t="n">
        <x:v>7</x:v>
      </x:c>
      <x:c r="C29" s="6" t="str">
        <x:v>Normal</x:v>
      </x:c>
      <x:c r="D29" s="6" t="str">
        <x:v>deck_19</x:v>
      </x:c>
      <x:c r="E29" s="7" t="n">
        <x:v>4</x:v>
      </x:c>
      <x:c r="F29" s="7" t="n">
        <x:v>4</x:v>
      </x:c>
      <x:c r="G29" s="7" t="n">
        <x:v>3</x:v>
      </x:c>
      <x:c r="H29" s="7" t="n">
        <x:v>3</x:v>
      </x:c>
      <x:c r="I29" s="7" t="n">
        <x:v>3</x:v>
      </x:c>
      <x:c r="J29" s="7" t="n">
        <x:v>3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0</x:v>
      </x:c>
      <x:c r="P29" s="7" t="n">
        <x:v>0</x:v>
      </x:c>
      <x:c r="Q29" s="7" t="n">
        <x:v>1</x:v>
      </x:c>
      <x:c r="R29" s="6" t="str">
        <x:v>비늘 공격대 / 에이스 크리스탈혼 / 성장 수단 확장 대비 상향안·실전 미검증</x:v>
      </x:c>
    </x:row>
    <x:row r="30" ht="24" hidden="0" customHeight="1">
      <x:c r="A30" s="7" t="n">
        <x:v>10720</x:v>
      </x:c>
      <x:c r="B30" s="7" t="n">
        <x:v>7</x:v>
      </x:c>
      <x:c r="C30" s="6" t="str">
        <x:v>Normal</x:v>
      </x:c>
      <x:c r="D30" s="6" t="str">
        <x:v>deck_20</x:v>
      </x:c>
      <x:c r="E30" s="7" t="n">
        <x:v>4</x:v>
      </x:c>
      <x:c r="F30" s="7" t="n">
        <x:v>4</x:v>
      </x:c>
      <x:c r="G30" s="7" t="n">
        <x:v>3</x:v>
      </x:c>
      <x:c r="H30" s="7" t="n">
        <x:v>3</x:v>
      </x:c>
      <x:c r="I30" s="7" t="n">
        <x:v>3</x:v>
      </x:c>
      <x:c r="J30" s="7" t="n">
        <x:v>3</x:v>
      </x:c>
      <x:c r="K30" s="7" t="n">
        <x:v>0</x:v>
      </x:c>
      <x:c r="L30" s="7" t="n">
        <x:v>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2</x:v>
      </x:c>
      <x:c r="R30" s="6" t="str">
        <x:v>덩치 공격대 / 에이스 크랙몬 / 성장 수단 확장 대비 상향안·실전 미검증</x:v>
      </x:c>
    </x:row>
    <x:row r="31" ht="24" hidden="0" customHeight="1">
      <x:c r="A31" s="7" t="n">
        <x:v>10721</x:v>
      </x:c>
      <x:c r="B31" s="7" t="n">
        <x:v>7</x:v>
      </x:c>
      <x:c r="C31" s="6" t="str">
        <x:v>Normal</x:v>
      </x:c>
      <x:c r="D31" s="6" t="str">
        <x:v>deck_21</x:v>
      </x:c>
      <x:c r="E31" s="7" t="n">
        <x:v>4</x:v>
      </x:c>
      <x:c r="F31" s="7" t="n">
        <x:v>3</x:v>
      </x:c>
      <x:c r="G31" s="7" t="n">
        <x:v>3</x:v>
      </x:c>
      <x:c r="H31" s="7" t="n">
        <x:v>4</x:v>
      </x:c>
      <x:c r="I31" s="7" t="n">
        <x:v>3</x:v>
      </x:c>
      <x:c r="J31" s="7" t="n">
        <x:v>3</x:v>
      </x:c>
      <x:c r="K31" s="7" t="n">
        <x:v>0</x:v>
      </x:c>
      <x:c r="L31" s="7" t="n">
        <x:v>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4</x:v>
      </x:c>
      <x:c r="R31" s="6" t="str">
        <x:v>낙인 추격대 / 에이스 얼음꼬미 / 성장 수단 확장 대비 상향안·실전 미검증</x:v>
      </x:c>
    </x:row>
    <x:row r="32" ht="24" hidden="0" customHeight="1">
      <x:c r="A32" s="7" t="n">
        <x:v>10722</x:v>
      </x:c>
      <x:c r="B32" s="7" t="n">
        <x:v>7</x:v>
      </x:c>
      <x:c r="C32" s="6" t="str">
        <x:v>Normal</x:v>
      </x:c>
      <x:c r="D32" s="6" t="str">
        <x:v>deck_22</x:v>
      </x:c>
      <x:c r="E32" s="7" t="n">
        <x:v>4</x:v>
      </x:c>
      <x:c r="F32" s="7" t="n">
        <x:v>4</x:v>
      </x:c>
      <x:c r="G32" s="7" t="n">
        <x:v>3</x:v>
      </x:c>
      <x:c r="H32" s="7" t="n">
        <x:v>3</x:v>
      </x:c>
      <x:c r="I32" s="7" t="n">
        <x:v>3</x:v>
      </x:c>
      <x:c r="J32" s="7" t="n">
        <x:v>3</x:v>
      </x:c>
      <x:c r="K32" s="7" t="n">
        <x:v>0</x:v>
      </x:c>
      <x:c r="L32" s="7" t="n">
        <x:v>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2</x:v>
      </x:c>
      <x:c r="R32" s="6" t="str">
        <x:v>비늘 + 유산 / 에이스 대장부리 / 성장 수단 확장 대비 상향안·실전 미검증</x:v>
      </x:c>
    </x:row>
    <x:row r="33" ht="24" hidden="0" customHeight="1">
      <x:c r="A33" s="7" t="n">
        <x:v>10819</x:v>
      </x:c>
      <x:c r="B33" s="7" t="n">
        <x:v>8</x:v>
      </x:c>
      <x:c r="C33" s="6" t="str">
        <x:v>Normal</x:v>
      </x:c>
      <x:c r="D33" s="6" t="str">
        <x:v>deck_19</x:v>
      </x:c>
      <x:c r="E33" s="7" t="n">
        <x:v>4</x:v>
      </x:c>
      <x:c r="F33" s="7" t="n">
        <x:v>4</x:v>
      </x:c>
      <x:c r="G33" s="7" t="n">
        <x:v>4</x:v>
      </x:c>
      <x:c r="H33" s="7" t="n">
        <x:v>3</x:v>
      </x:c>
      <x:c r="I33" s="7" t="n">
        <x:v>3</x:v>
      </x:c>
      <x:c r="J33" s="7" t="n">
        <x:v>3</x:v>
      </x:c>
      <x:c r="K33" s="7" t="n">
        <x:v>0</x:v>
      </x:c>
      <x:c r="L33" s="7" t="n">
        <x:v>0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1</x:v>
      </x:c>
      <x:c r="R33" s="6" t="str">
        <x:v>비늘 공격대 / 에이스 크리스탈혼 / 성장 수단 확장 대비 상향안·실전 미검증</x:v>
      </x:c>
    </x:row>
    <x:row r="34" ht="24" hidden="0" customHeight="1">
      <x:c r="A34" s="7" t="n">
        <x:v>10820</x:v>
      </x:c>
      <x:c r="B34" s="7" t="n">
        <x:v>8</x:v>
      </x:c>
      <x:c r="C34" s="6" t="str">
        <x:v>Normal</x:v>
      </x:c>
      <x:c r="D34" s="6" t="str">
        <x:v>deck_20</x:v>
      </x:c>
      <x:c r="E34" s="7" t="n">
        <x:v>4</x:v>
      </x:c>
      <x:c r="F34" s="7" t="n">
        <x:v>4</x:v>
      </x:c>
      <x:c r="G34" s="7" t="n">
        <x:v>4</x:v>
      </x:c>
      <x:c r="H34" s="7" t="n">
        <x:v>3</x:v>
      </x:c>
      <x:c r="I34" s="7" t="n">
        <x:v>3</x:v>
      </x:c>
      <x:c r="J34" s="7" t="n">
        <x:v>3</x:v>
      </x:c>
      <x:c r="K34" s="7" t="n">
        <x:v>0</x:v>
      </x:c>
      <x:c r="L34" s="7" t="n">
        <x:v>0</x:v>
      </x:c>
      <x:c r="M34" s="7" t="n">
        <x:v>0</x:v>
      </x:c>
      <x:c r="N34" s="7" t="n">
        <x:v>0</x:v>
      </x:c>
      <x:c r="O34" s="7" t="n">
        <x:v>0</x:v>
      </x:c>
      <x:c r="P34" s="7" t="n">
        <x:v>0</x:v>
      </x:c>
      <x:c r="Q34" s="7" t="n">
        <x:v>2</x:v>
      </x:c>
      <x:c r="R34" s="6" t="str">
        <x:v>덩치 공격대 / 에이스 크랙몬 / 성장 수단 확장 대비 상향안·실전 미검증</x:v>
      </x:c>
    </x:row>
    <x:row r="35" ht="24" hidden="0" customHeight="1">
      <x:c r="A35" s="7" t="n">
        <x:v>10821</x:v>
      </x:c>
      <x:c r="B35" s="7" t="n">
        <x:v>8</x:v>
      </x:c>
      <x:c r="C35" s="6" t="str">
        <x:v>Normal</x:v>
      </x:c>
      <x:c r="D35" s="6" t="str">
        <x:v>deck_21</x:v>
      </x:c>
      <x:c r="E35" s="7" t="n">
        <x:v>4</x:v>
      </x:c>
      <x:c r="F35" s="7" t="n">
        <x:v>4</x:v>
      </x:c>
      <x:c r="G35" s="7" t="n">
        <x:v>3</x:v>
      </x:c>
      <x:c r="H35" s="7" t="n">
        <x:v>4</x:v>
      </x:c>
      <x:c r="I35" s="7" t="n">
        <x:v>3</x:v>
      </x:c>
      <x:c r="J35" s="7" t="n">
        <x:v>3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4</x:v>
      </x:c>
      <x:c r="R35" s="6" t="str">
        <x:v>낙인 추격대 / 에이스 얼음꼬미 / 성장 수단 확장 대비 상향안·실전 미검증</x:v>
      </x:c>
    </x:row>
    <x:row r="36" ht="24" hidden="0" customHeight="1">
      <x:c r="A36" s="7" t="n">
        <x:v>10822</x:v>
      </x:c>
      <x:c r="B36" s="7" t="n">
        <x:v>8</x:v>
      </x:c>
      <x:c r="C36" s="6" t="str">
        <x:v>Normal</x:v>
      </x:c>
      <x:c r="D36" s="6" t="str">
        <x:v>deck_22</x:v>
      </x:c>
      <x:c r="E36" s="7" t="n">
        <x:v>4</x:v>
      </x:c>
      <x:c r="F36" s="7" t="n">
        <x:v>4</x:v>
      </x:c>
      <x:c r="G36" s="7" t="n">
        <x:v>4</x:v>
      </x:c>
      <x:c r="H36" s="7" t="n">
        <x:v>3</x:v>
      </x:c>
      <x:c r="I36" s="7" t="n">
        <x:v>3</x:v>
      </x:c>
      <x:c r="J36" s="7" t="n">
        <x:v>3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2</x:v>
      </x:c>
      <x:c r="R36" s="6" t="str">
        <x:v>비늘 + 유산 / 에이스 대장부리 / 성장 수단 확장 대비 상향안·실전 미검증</x:v>
      </x:c>
    </x:row>
    <x:row r="37" ht="24" hidden="0" customHeight="1">
      <x:c r="A37" s="7" t="n">
        <x:v>10901</x:v>
      </x:c>
      <x:c r="B37" s="7" t="n">
        <x:v>9</x:v>
      </x:c>
      <x:c r="C37" s="6" t="str">
        <x:v>Normal</x:v>
      </x:c>
      <x:c r="D37" s="6" t="str">
        <x:v>deck_01</x:v>
      </x:c>
      <x:c r="E37" s="7" t="n">
        <x:v>4</x:v>
      </x:c>
      <x:c r="F37" s="7" t="n">
        <x:v>3</x:v>
      </x:c>
      <x:c r="G37" s="7" t="n">
        <x:v>4</x:v>
      </x:c>
      <x:c r="H37" s="7" t="n">
        <x:v>3</x:v>
      </x:c>
      <x:c r="I37" s="7" t="n">
        <x:v>3</x:v>
      </x:c>
      <x:c r="J37" s="7" t="n">
        <x:v>4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3</x:v>
      </x:c>
      <x:c r="R37" s="6" t="str">
        <x:v>낙인 + 포식자 / 에이스 얼음꼬미 / 성장 수단 확장 대비 상향안·실전 미검증</x:v>
      </x:c>
    </x:row>
    <x:row r="38" ht="24" hidden="0" customHeight="1">
      <x:c r="A38" s="7" t="n">
        <x:v>10902</x:v>
      </x:c>
      <x:c r="B38" s="7" t="n">
        <x:v>9</x:v>
      </x:c>
      <x:c r="C38" s="6" t="str">
        <x:v>Normal</x:v>
      </x:c>
      <x:c r="D38" s="6" t="str">
        <x:v>deck_02</x:v>
      </x:c>
      <x:c r="E38" s="7" t="n">
        <x:v>4</x:v>
      </x:c>
      <x:c r="F38" s="7" t="n">
        <x:v>3</x:v>
      </x:c>
      <x:c r="G38" s="7" t="n">
        <x:v>4</x:v>
      </x:c>
      <x:c r="H38" s="7" t="n">
        <x:v>3</x:v>
      </x:c>
      <x:c r="I38" s="7" t="n">
        <x:v>4</x:v>
      </x:c>
      <x:c r="J38" s="7" t="n">
        <x:v>3</x:v>
      </x:c>
      <x:c r="K38" s="7" t="n">
        <x:v>0</x:v>
      </x:c>
      <x:c r="L38" s="7" t="n">
        <x:v>0</x:v>
      </x:c>
      <x:c r="M38" s="7" t="n">
        <x:v>0</x:v>
      </x:c>
      <x:c r="N38" s="7" t="n">
        <x:v>0</x:v>
      </x:c>
      <x:c r="O38" s="7" t="n">
        <x:v>0</x:v>
      </x:c>
      <x:c r="P38" s="7" t="n">
        <x:v>0</x:v>
      </x:c>
      <x:c r="Q38" s="7" t="n">
        <x:v>3</x:v>
      </x:c>
      <x:c r="R38" s="6" t="str">
        <x:v>낙인 + 비늘 / 에이스 얼음꼬미 / 성장 수단 확장 대비 상향안·실전 미검증</x:v>
      </x:c>
    </x:row>
    <x:row r="39" ht="24" hidden="0" customHeight="1">
      <x:c r="A39" s="7" t="n">
        <x:v>10903</x:v>
      </x:c>
      <x:c r="B39" s="7" t="n">
        <x:v>9</x:v>
      </x:c>
      <x:c r="C39" s="6" t="str">
        <x:v>Normal</x:v>
      </x:c>
      <x:c r="D39" s="6" t="str">
        <x:v>deck_03</x:v>
      </x:c>
      <x:c r="E39" s="7" t="n">
        <x:v>4</x:v>
      </x:c>
      <x:c r="F39" s="7" t="n">
        <x:v>4</x:v>
      </x:c>
      <x:c r="G39" s="7" t="n">
        <x:v>3</x:v>
      </x:c>
      <x:c r="H39" s="7" t="n">
        <x:v>3</x:v>
      </x:c>
      <x:c r="I39" s="7" t="n">
        <x:v>3</x:v>
      </x:c>
      <x:c r="J39" s="7" t="n">
        <x:v>4</x:v>
      </x:c>
      <x:c r="K39" s="7" t="n">
        <x:v>0</x:v>
      </x:c>
      <x:c r="L39" s="7" t="n">
        <x:v>0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6</x:v>
      </x:c>
      <x:c r="R39" s="6" t="str">
        <x:v>돌보미 + 유산 / 에이스 대장부리 / 성장 수단 확장 대비 상향안·실전 미검증</x:v>
      </x:c>
    </x:row>
    <x:row r="40" ht="24" hidden="0" customHeight="1">
      <x:c r="A40" s="7" t="n">
        <x:v>10904</x:v>
      </x:c>
      <x:c r="B40" s="7" t="n">
        <x:v>9</x:v>
      </x:c>
      <x:c r="C40" s="6" t="str">
        <x:v>Normal</x:v>
      </x:c>
      <x:c r="D40" s="6" t="str">
        <x:v>deck_04</x:v>
      </x:c>
      <x:c r="E40" s="7" t="n">
        <x:v>4</x:v>
      </x:c>
      <x:c r="F40" s="7" t="n">
        <x:v>4</x:v>
      </x:c>
      <x:c r="G40" s="7" t="n">
        <x:v>3</x:v>
      </x:c>
      <x:c r="H40" s="7" t="n">
        <x:v>3</x:v>
      </x:c>
      <x:c r="I40" s="7" t="n">
        <x:v>3</x:v>
      </x:c>
      <x:c r="J40" s="7" t="n">
        <x:v>4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0</x:v>
      </x:c>
      <x:c r="P40" s="7" t="n">
        <x:v>0</x:v>
      </x:c>
      <x:c r="Q40" s="7" t="n">
        <x:v>6</x:v>
      </x:c>
      <x:c r="R40" s="6" t="str">
        <x:v>돌보미 + 덩치 / 에이스 크랙몬 / 성장 수단 확장 대비 상향안·실전 미검증</x:v>
      </x:c>
    </x:row>
    <x:row r="41" ht="15" hidden="0" customHeight="1">
      <x:c r="A41" s="7" t="n">
        <x:v>10905</x:v>
      </x:c>
      <x:c r="B41" s="7" t="n">
        <x:v>9</x:v>
      </x:c>
      <x:c r="C41" s="6" t="str">
        <x:v>Normal</x:v>
      </x:c>
      <x:c r="D41" s="6" t="str">
        <x:v>deck_05</x:v>
      </x:c>
      <x:c r="E41" s="7" t="n">
        <x:v>4</x:v>
      </x:c>
      <x:c r="F41" s="7" t="n">
        <x:v>3</x:v>
      </x:c>
      <x:c r="G41" s="7" t="n">
        <x:v>4</x:v>
      </x:c>
      <x:c r="H41" s="7" t="n">
        <x:v>3</x:v>
      </x:c>
      <x:c r="I41" s="7" t="n">
        <x:v>4</x:v>
      </x:c>
      <x:c r="J41" s="7" t="n">
        <x:v>3</x:v>
      </x:c>
      <x:c r="K41" s="7" t="n">
        <x:v>0</x:v>
      </x:c>
      <x:c r="L41" s="7" t="n">
        <x:v>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3</x:v>
      </x:c>
      <x:c r="R41" s="6" t="str">
        <x:v>흐름 + 비늘 / 에이스 찌릿핀 / 성장 수단 확장 대비 상향안·실전 미검증</x:v>
      </x:c>
    </x:row>
    <x:row r="42" ht="15" hidden="0" customHeight="1">
      <x:c r="A42" s="7" t="n">
        <x:v>10906</x:v>
      </x:c>
      <x:c r="B42" s="7" t="n">
        <x:v>9</x:v>
      </x:c>
      <x:c r="C42" s="6" t="str">
        <x:v>Normal</x:v>
      </x:c>
      <x:c r="D42" s="6" t="str">
        <x:v>deck_06</x:v>
      </x:c>
      <x:c r="E42" s="7" t="n">
        <x:v>4</x:v>
      </x:c>
      <x:c r="F42" s="7" t="n">
        <x:v>3</x:v>
      </x:c>
      <x:c r="G42" s="7" t="n">
        <x:v>4</x:v>
      </x:c>
      <x:c r="H42" s="7" t="n">
        <x:v>3</x:v>
      </x:c>
      <x:c r="I42" s="7" t="n">
        <x:v>3</x:v>
      </x:c>
      <x:c r="J42" s="7" t="n">
        <x:v>4</x:v>
      </x:c>
      <x:c r="K42" s="7" t="n">
        <x:v>0</x:v>
      </x:c>
      <x:c r="L42" s="7" t="n">
        <x:v>0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3</x:v>
      </x:c>
      <x:c r="R42" s="6" t="str">
        <x:v>흐름 + 덩치 / 에이스 찌릿핀 / 성장 수단 확장 대비 상향안·실전 미검증</x:v>
      </x:c>
    </x:row>
    <x:row r="43" ht="15" hidden="0" customHeight="1">
      <x:c r="A43" s="7" t="n">
        <x:v>10907</x:v>
      </x:c>
      <x:c r="B43" s="7" t="n">
        <x:v>9</x:v>
      </x:c>
      <x:c r="C43" s="6" t="str">
        <x:v>Normal</x:v>
      </x:c>
      <x:c r="D43" s="6" t="str">
        <x:v>deck_07</x:v>
      </x:c>
      <x:c r="E43" s="7" t="n">
        <x:v>3</x:v>
      </x:c>
      <x:c r="F43" s="7" t="n">
        <x:v>4</x:v>
      </x:c>
      <x:c r="G43" s="7" t="n">
        <x:v>4</x:v>
      </x:c>
      <x:c r="H43" s="7" t="n">
        <x:v>4</x:v>
      </x:c>
      <x:c r="I43" s="7" t="n">
        <x:v>3</x:v>
      </x:c>
      <x:c r="J43" s="7" t="n">
        <x:v>3</x:v>
      </x:c>
      <x:c r="K43" s="7" t="n">
        <x:v>0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3</x:v>
      </x:c>
      <x:c r="R43" s="6" t="str">
        <x:v>추적 + 덩치 / 에이스 꿈먹이 / 성장 수단 확장 대비 상향안·실전 미검증</x:v>
      </x:c>
    </x:row>
    <x:row r="44" ht="24" hidden="0" customHeight="1">
      <x:c r="A44" s="7" t="n">
        <x:v>10908</x:v>
      </x:c>
      <x:c r="B44" s="7" t="n">
        <x:v>9</x:v>
      </x:c>
      <x:c r="C44" s="6" t="str">
        <x:v>Normal</x:v>
      </x:c>
      <x:c r="D44" s="6" t="str">
        <x:v>deck_08</x:v>
      </x:c>
      <x:c r="E44" s="7" t="n">
        <x:v>4</x:v>
      </x:c>
      <x:c r="F44" s="7" t="n">
        <x:v>3</x:v>
      </x:c>
      <x:c r="G44" s="7" t="n">
        <x:v>3</x:v>
      </x:c>
      <x:c r="H44" s="7" t="n">
        <x:v>3</x:v>
      </x:c>
      <x:c r="I44" s="7" t="n">
        <x:v>4</x:v>
      </x:c>
      <x:c r="J44" s="7" t="n">
        <x:v>4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5</x:v>
      </x:c>
      <x:c r="R44" s="6" t="str">
        <x:v>유산 돌격대 / 에이스 대장부리 / 성장 수단 확장 대비 상향안·실전 미검증</x:v>
      </x:c>
    </x:row>
    <x:row r="45" ht="24" hidden="0" customHeight="1">
      <x:c r="A45" s="7" t="n">
        <x:v>10919</x:v>
      </x:c>
      <x:c r="B45" s="7" t="n">
        <x:v>9</x:v>
      </x:c>
      <x:c r="C45" s="6" t="str">
        <x:v>Normal</x:v>
      </x:c>
      <x:c r="D45" s="6" t="str">
        <x:v>deck_19</x:v>
      </x:c>
      <x:c r="E45" s="7" t="n">
        <x:v>4</x:v>
      </x:c>
      <x:c r="F45" s="7" t="n">
        <x:v>4</x:v>
      </x:c>
      <x:c r="G45" s="7" t="n">
        <x:v>4</x:v>
      </x:c>
      <x:c r="H45" s="7" t="n">
        <x:v>3</x:v>
      </x:c>
      <x:c r="I45" s="7" t="n">
        <x:v>3</x:v>
      </x:c>
      <x:c r="J45" s="7" t="n">
        <x:v>3</x:v>
      </x:c>
      <x:c r="K45" s="7" t="n">
        <x:v>0</x:v>
      </x:c>
      <x:c r="L45" s="7" t="n">
        <x:v>0</x:v>
      </x:c>
      <x:c r="M45" s="7" t="n">
        <x:v>0</x:v>
      </x:c>
      <x:c r="N45" s="7" t="n">
        <x:v>0</x:v>
      </x:c>
      <x:c r="O45" s="7" t="n">
        <x:v>0</x:v>
      </x:c>
      <x:c r="P45" s="7" t="n">
        <x:v>0</x:v>
      </x:c>
      <x:c r="Q45" s="7" t="n">
        <x:v>1</x:v>
      </x:c>
      <x:c r="R45" s="6" t="str">
        <x:v>비늘 공격대 / 에이스 크리스탈혼 / 성장 수단 확장 대비 상향안·실전 미검증</x:v>
      </x:c>
    </x:row>
    <x:row r="46" ht="24" hidden="0" customHeight="1">
      <x:c r="A46" s="7" t="n">
        <x:v>10920</x:v>
      </x:c>
      <x:c r="B46" s="7" t="n">
        <x:v>9</x:v>
      </x:c>
      <x:c r="C46" s="6" t="str">
        <x:v>Normal</x:v>
      </x:c>
      <x:c r="D46" s="6" t="str">
        <x:v>deck_20</x:v>
      </x:c>
      <x:c r="E46" s="7" t="n">
        <x:v>4</x:v>
      </x:c>
      <x:c r="F46" s="7" t="n">
        <x:v>4</x:v>
      </x:c>
      <x:c r="G46" s="7" t="n">
        <x:v>4</x:v>
      </x:c>
      <x:c r="H46" s="7" t="n">
        <x:v>3</x:v>
      </x:c>
      <x:c r="I46" s="7" t="n">
        <x:v>3</x:v>
      </x:c>
      <x:c r="J46" s="7" t="n">
        <x:v>3</x:v>
      </x:c>
      <x:c r="K46" s="7" t="n">
        <x:v>0</x:v>
      </x:c>
      <x:c r="L46" s="7" t="n">
        <x:v>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2</x:v>
      </x:c>
      <x:c r="R46" s="6" t="str">
        <x:v>덩치 공격대 / 에이스 크랙몬 / 성장 수단 확장 대비 상향안·실전 미검증</x:v>
      </x:c>
    </x:row>
    <x:row r="47" ht="24" hidden="0" customHeight="1">
      <x:c r="A47" s="7" t="n">
        <x:v>10921</x:v>
      </x:c>
      <x:c r="B47" s="7" t="n">
        <x:v>9</x:v>
      </x:c>
      <x:c r="C47" s="6" t="str">
        <x:v>Normal</x:v>
      </x:c>
      <x:c r="D47" s="6" t="str">
        <x:v>deck_21</x:v>
      </x:c>
      <x:c r="E47" s="7" t="n">
        <x:v>4</x:v>
      </x:c>
      <x:c r="F47" s="7" t="n">
        <x:v>4</x:v>
      </x:c>
      <x:c r="G47" s="7" t="n">
        <x:v>3</x:v>
      </x:c>
      <x:c r="H47" s="7" t="n">
        <x:v>4</x:v>
      </x:c>
      <x:c r="I47" s="7" t="n">
        <x:v>3</x:v>
      </x:c>
      <x:c r="J47" s="7" t="n">
        <x:v>3</x:v>
      </x:c>
      <x:c r="K47" s="7" t="n">
        <x:v>0</x:v>
      </x:c>
      <x:c r="L47" s="7" t="n">
        <x:v>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4</x:v>
      </x:c>
      <x:c r="R47" s="6" t="str">
        <x:v>낙인 추격대 / 에이스 얼음꼬미 / 성장 수단 확장 대비 상향안·실전 미검증</x:v>
      </x:c>
    </x:row>
    <x:row r="48" ht="24" hidden="0" customHeight="1">
      <x:c r="A48" s="7" t="n">
        <x:v>10922</x:v>
      </x:c>
      <x:c r="B48" s="7" t="n">
        <x:v>9</x:v>
      </x:c>
      <x:c r="C48" s="6" t="str">
        <x:v>Normal</x:v>
      </x:c>
      <x:c r="D48" s="6" t="str">
        <x:v>deck_22</x:v>
      </x:c>
      <x:c r="E48" s="7" t="n">
        <x:v>4</x:v>
      </x:c>
      <x:c r="F48" s="7" t="n">
        <x:v>4</x:v>
      </x:c>
      <x:c r="G48" s="7" t="n">
        <x:v>4</x:v>
      </x:c>
      <x:c r="H48" s="7" t="n">
        <x:v>3</x:v>
      </x:c>
      <x:c r="I48" s="7" t="n">
        <x:v>3</x:v>
      </x:c>
      <x:c r="J48" s="7" t="n">
        <x:v>3</x:v>
      </x:c>
      <x:c r="K48" s="7" t="n">
        <x:v>0</x:v>
      </x:c>
      <x:c r="L48" s="7" t="n">
        <x:v>0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2</x:v>
      </x:c>
      <x:c r="R48" s="6" t="str">
        <x:v>비늘 + 유산 / 에이스 대장부리 / 성장 수단 확장 대비 상향안·실전 미검증</x:v>
      </x:c>
    </x:row>
    <x:row r="49" ht="24" hidden="0" customHeight="1">
      <x:c r="A49" s="7" t="n">
        <x:v>11001</x:v>
      </x:c>
      <x:c r="B49" s="7" t="n">
        <x:v>10</x:v>
      </x:c>
      <x:c r="C49" s="6" t="str">
        <x:v>Normal</x:v>
      </x:c>
      <x:c r="D49" s="6" t="str">
        <x:v>deck_01</x:v>
      </x:c>
      <x:c r="E49" s="7" t="n">
        <x:v>4</x:v>
      </x:c>
      <x:c r="F49" s="7" t="n">
        <x:v>3</x:v>
      </x:c>
      <x:c r="G49" s="7" t="n">
        <x:v>4</x:v>
      </x:c>
      <x:c r="H49" s="7" t="n">
        <x:v>3</x:v>
      </x:c>
      <x:c r="I49" s="7" t="n">
        <x:v>3</x:v>
      </x:c>
      <x:c r="J49" s="7" t="n">
        <x:v>4</x:v>
      </x:c>
      <x:c r="K49" s="7" t="n">
        <x:v>0</x:v>
      </x:c>
      <x:c r="L49" s="7" t="n">
        <x:v>0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3</x:v>
      </x:c>
      <x:c r="R49" s="6" t="str">
        <x:v>낙인 + 포식자 / 에이스 얼음꼬미 / 성장 수단 확장 대비 상향안·실전 미검증</x:v>
      </x:c>
    </x:row>
    <x:row r="50" ht="24" hidden="0" customHeight="1">
      <x:c r="A50" s="7" t="n">
        <x:v>11002</x:v>
      </x:c>
      <x:c r="B50" s="7" t="n">
        <x:v>10</x:v>
      </x:c>
      <x:c r="C50" s="6" t="str">
        <x:v>Normal</x:v>
      </x:c>
      <x:c r="D50" s="6" t="str">
        <x:v>deck_02</x:v>
      </x:c>
      <x:c r="E50" s="7" t="n">
        <x:v>4</x:v>
      </x:c>
      <x:c r="F50" s="7" t="n">
        <x:v>3</x:v>
      </x:c>
      <x:c r="G50" s="7" t="n">
        <x:v>4</x:v>
      </x:c>
      <x:c r="H50" s="7" t="n">
        <x:v>3</x:v>
      </x:c>
      <x:c r="I50" s="7" t="n">
        <x:v>4</x:v>
      </x:c>
      <x:c r="J50" s="7" t="n">
        <x:v>3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3</x:v>
      </x:c>
      <x:c r="R50" s="6" t="str">
        <x:v>낙인 + 비늘 / 에이스 얼음꼬미 / 성장 수단 확장 대비 상향안·실전 미검증</x:v>
      </x:c>
    </x:row>
    <x:row r="51" ht="24" hidden="0" customHeight="1">
      <x:c r="A51" s="7" t="n">
        <x:v>11003</x:v>
      </x:c>
      <x:c r="B51" s="7" t="n">
        <x:v>10</x:v>
      </x:c>
      <x:c r="C51" s="6" t="str">
        <x:v>Normal</x:v>
      </x:c>
      <x:c r="D51" s="6" t="str">
        <x:v>deck_03</x:v>
      </x:c>
      <x:c r="E51" s="7" t="n">
        <x:v>4</x:v>
      </x:c>
      <x:c r="F51" s="7" t="n">
        <x:v>4</x:v>
      </x:c>
      <x:c r="G51" s="7" t="n">
        <x:v>3</x:v>
      </x:c>
      <x:c r="H51" s="7" t="n">
        <x:v>3</x:v>
      </x:c>
      <x:c r="I51" s="7" t="n">
        <x:v>3</x:v>
      </x:c>
      <x:c r="J51" s="7" t="n">
        <x:v>4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6</x:v>
      </x:c>
      <x:c r="R51" s="6" t="str">
        <x:v>돌보미 + 유산 / 에이스 대장부리 / 성장 수단 확장 대비 상향안·실전 미검증</x:v>
      </x:c>
    </x:row>
    <x:row r="52" ht="24" hidden="0" customHeight="1">
      <x:c r="A52" s="7" t="n">
        <x:v>11004</x:v>
      </x:c>
      <x:c r="B52" s="7" t="n">
        <x:v>10</x:v>
      </x:c>
      <x:c r="C52" s="6" t="str">
        <x:v>Normal</x:v>
      </x:c>
      <x:c r="D52" s="6" t="str">
        <x:v>deck_04</x:v>
      </x:c>
      <x:c r="E52" s="7" t="n">
        <x:v>4</x:v>
      </x:c>
      <x:c r="F52" s="7" t="n">
        <x:v>4</x:v>
      </x:c>
      <x:c r="G52" s="7" t="n">
        <x:v>3</x:v>
      </x:c>
      <x:c r="H52" s="7" t="n">
        <x:v>3</x:v>
      </x:c>
      <x:c r="I52" s="7" t="n">
        <x:v>3</x:v>
      </x:c>
      <x:c r="J52" s="7" t="n">
        <x:v>4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6</x:v>
      </x:c>
      <x:c r="R52" s="6" t="str">
        <x:v>돌보미 + 덩치 / 에이스 크랙몬 / 성장 수단 확장 대비 상향안·실전 미검증</x:v>
      </x:c>
    </x:row>
    <x:row r="53" ht="15" hidden="0" customHeight="1">
      <x:c r="A53" s="7" t="n">
        <x:v>11005</x:v>
      </x:c>
      <x:c r="B53" s="7" t="n">
        <x:v>10</x:v>
      </x:c>
      <x:c r="C53" s="6" t="str">
        <x:v>Normal</x:v>
      </x:c>
      <x:c r="D53" s="6" t="str">
        <x:v>deck_05</x:v>
      </x:c>
      <x:c r="E53" s="7" t="n">
        <x:v>4</x:v>
      </x:c>
      <x:c r="F53" s="7" t="n">
        <x:v>3</x:v>
      </x:c>
      <x:c r="G53" s="7" t="n">
        <x:v>4</x:v>
      </x:c>
      <x:c r="H53" s="7" t="n">
        <x:v>3</x:v>
      </x:c>
      <x:c r="I53" s="7" t="n">
        <x:v>4</x:v>
      </x:c>
      <x:c r="J53" s="7" t="n">
        <x:v>3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3</x:v>
      </x:c>
      <x:c r="R53" s="6" t="str">
        <x:v>흐름 + 비늘 / 에이스 찌릿핀 / 성장 수단 확장 대비 상향안·실전 미검증</x:v>
      </x:c>
    </x:row>
    <x:row r="54" ht="15" hidden="0" customHeight="1">
      <x:c r="A54" s="7" t="n">
        <x:v>11006</x:v>
      </x:c>
      <x:c r="B54" s="7" t="n">
        <x:v>10</x:v>
      </x:c>
      <x:c r="C54" s="6" t="str">
        <x:v>Normal</x:v>
      </x:c>
      <x:c r="D54" s="6" t="str">
        <x:v>deck_06</x:v>
      </x:c>
      <x:c r="E54" s="7" t="n">
        <x:v>4</x:v>
      </x:c>
      <x:c r="F54" s="7" t="n">
        <x:v>3</x:v>
      </x:c>
      <x:c r="G54" s="7" t="n">
        <x:v>4</x:v>
      </x:c>
      <x:c r="H54" s="7" t="n">
        <x:v>3</x:v>
      </x:c>
      <x:c r="I54" s="7" t="n">
        <x:v>3</x:v>
      </x:c>
      <x:c r="J54" s="7" t="n">
        <x:v>4</x:v>
      </x:c>
      <x:c r="K54" s="7" t="n">
        <x:v>0</x:v>
      </x:c>
      <x:c r="L54" s="7" t="n">
        <x:v>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3</x:v>
      </x:c>
      <x:c r="R54" s="6" t="str">
        <x:v>흐름 + 덩치 / 에이스 찌릿핀 / 성장 수단 확장 대비 상향안·실전 미검증</x:v>
      </x:c>
    </x:row>
    <x:row r="55" ht="15" hidden="0" customHeight="1">
      <x:c r="A55" s="7" t="n">
        <x:v>11007</x:v>
      </x:c>
      <x:c r="B55" s="7" t="n">
        <x:v>10</x:v>
      </x:c>
      <x:c r="C55" s="6" t="str">
        <x:v>Normal</x:v>
      </x:c>
      <x:c r="D55" s="6" t="str">
        <x:v>deck_07</x:v>
      </x:c>
      <x:c r="E55" s="7" t="n">
        <x:v>3</x:v>
      </x:c>
      <x:c r="F55" s="7" t="n">
        <x:v>4</x:v>
      </x:c>
      <x:c r="G55" s="7" t="n">
        <x:v>4</x:v>
      </x:c>
      <x:c r="H55" s="7" t="n">
        <x:v>4</x:v>
      </x:c>
      <x:c r="I55" s="7" t="n">
        <x:v>3</x:v>
      </x:c>
      <x:c r="J55" s="7" t="n">
        <x:v>3</x:v>
      </x:c>
      <x:c r="K55" s="7" t="n">
        <x:v>0</x:v>
      </x:c>
      <x:c r="L55" s="7" t="n">
        <x:v>0</x:v>
      </x:c>
      <x:c r="M55" s="7" t="n">
        <x:v>0</x:v>
      </x:c>
      <x:c r="N55" s="7" t="n">
        <x:v>0</x:v>
      </x:c>
      <x:c r="O55" s="7" t="n">
        <x:v>0</x:v>
      </x:c>
      <x:c r="P55" s="7" t="n">
        <x:v>0</x:v>
      </x:c>
      <x:c r="Q55" s="7" t="n">
        <x:v>3</x:v>
      </x:c>
      <x:c r="R55" s="6" t="str">
        <x:v>추적 + 덩치 / 에이스 꿈먹이 / 성장 수단 확장 대비 상향안·실전 미검증</x:v>
      </x:c>
    </x:row>
    <x:row r="56" ht="24" hidden="0" customHeight="1">
      <x:c r="A56" s="7" t="n">
        <x:v>11008</x:v>
      </x:c>
      <x:c r="B56" s="7" t="n">
        <x:v>10</x:v>
      </x:c>
      <x:c r="C56" s="6" t="str">
        <x:v>Normal</x:v>
      </x:c>
      <x:c r="D56" s="6" t="str">
        <x:v>deck_08</x:v>
      </x:c>
      <x:c r="E56" s="7" t="n">
        <x:v>4</x:v>
      </x:c>
      <x:c r="F56" s="7" t="n">
        <x:v>3</x:v>
      </x:c>
      <x:c r="G56" s="7" t="n">
        <x:v>3</x:v>
      </x:c>
      <x:c r="H56" s="7" t="n">
        <x:v>3</x:v>
      </x:c>
      <x:c r="I56" s="7" t="n">
        <x:v>4</x:v>
      </x:c>
      <x:c r="J56" s="7" t="n">
        <x:v>4</x:v>
      </x:c>
      <x:c r="K56" s="7" t="n">
        <x:v>0</x:v>
      </x:c>
      <x:c r="L56" s="7" t="n">
        <x:v>0</x:v>
      </x:c>
      <x:c r="M56" s="7" t="n">
        <x:v>0</x:v>
      </x:c>
      <x:c r="N56" s="7" t="n">
        <x:v>0</x:v>
      </x:c>
      <x:c r="O56" s="7" t="n">
        <x:v>0</x:v>
      </x:c>
      <x:c r="P56" s="7" t="n">
        <x:v>0</x:v>
      </x:c>
      <x:c r="Q56" s="7" t="n">
        <x:v>5</x:v>
      </x:c>
      <x:c r="R56" s="6" t="str">
        <x:v>유산 돌격대 / 에이스 대장부리 / 성장 수단 확장 대비 상향안·실전 미검증</x:v>
      </x:c>
    </x:row>
    <x:row r="57" ht="24" hidden="0" customHeight="1">
      <x:c r="A57" s="7" t="n">
        <x:v>11019</x:v>
      </x:c>
      <x:c r="B57" s="7" t="n">
        <x:v>10</x:v>
      </x:c>
      <x:c r="C57" s="6" t="str">
        <x:v>Normal</x:v>
      </x:c>
      <x:c r="D57" s="6" t="str">
        <x:v>deck_19</x:v>
      </x:c>
      <x:c r="E57" s="7" t="n">
        <x:v>4</x:v>
      </x:c>
      <x:c r="F57" s="7" t="n">
        <x:v>4</x:v>
      </x:c>
      <x:c r="G57" s="7" t="n">
        <x:v>4</x:v>
      </x:c>
      <x:c r="H57" s="7" t="n">
        <x:v>3</x:v>
      </x:c>
      <x:c r="I57" s="7" t="n">
        <x:v>3</x:v>
      </x:c>
      <x:c r="J57" s="7" t="n">
        <x:v>3</x:v>
      </x:c>
      <x:c r="K57" s="7" t="n">
        <x:v>0</x:v>
      </x:c>
      <x:c r="L57" s="7" t="n">
        <x:v>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1</x:v>
      </x:c>
      <x:c r="R57" s="6" t="str">
        <x:v>비늘 공격대 / 에이스 크리스탈혼 / 성장 수단 확장 대비 상향안·실전 미검증</x:v>
      </x:c>
    </x:row>
    <x:row r="58" ht="24" hidden="0" customHeight="1">
      <x:c r="A58" s="7" t="n">
        <x:v>11020</x:v>
      </x:c>
      <x:c r="B58" s="7" t="n">
        <x:v>10</x:v>
      </x:c>
      <x:c r="C58" s="6" t="str">
        <x:v>Normal</x:v>
      </x:c>
      <x:c r="D58" s="6" t="str">
        <x:v>deck_20</x:v>
      </x:c>
      <x:c r="E58" s="7" t="n">
        <x:v>4</x:v>
      </x:c>
      <x:c r="F58" s="7" t="n">
        <x:v>4</x:v>
      </x:c>
      <x:c r="G58" s="7" t="n">
        <x:v>4</x:v>
      </x:c>
      <x:c r="H58" s="7" t="n">
        <x:v>3</x:v>
      </x:c>
      <x:c r="I58" s="7" t="n">
        <x:v>3</x:v>
      </x:c>
      <x:c r="J58" s="7" t="n">
        <x:v>3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2</x:v>
      </x:c>
      <x:c r="R58" s="6" t="str">
        <x:v>덩치 공격대 / 에이스 크랙몬 / 성장 수단 확장 대비 상향안·실전 미검증</x:v>
      </x:c>
    </x:row>
    <x:row r="59" ht="24" hidden="0" customHeight="1">
      <x:c r="A59" s="7" t="n">
        <x:v>11021</x:v>
      </x:c>
      <x:c r="B59" s="7" t="n">
        <x:v>10</x:v>
      </x:c>
      <x:c r="C59" s="6" t="str">
        <x:v>Normal</x:v>
      </x:c>
      <x:c r="D59" s="6" t="str">
        <x:v>deck_21</x:v>
      </x:c>
      <x:c r="E59" s="7" t="n">
        <x:v>4</x:v>
      </x:c>
      <x:c r="F59" s="7" t="n">
        <x:v>4</x:v>
      </x:c>
      <x:c r="G59" s="7" t="n">
        <x:v>3</x:v>
      </x:c>
      <x:c r="H59" s="7" t="n">
        <x:v>4</x:v>
      </x:c>
      <x:c r="I59" s="7" t="n">
        <x:v>3</x:v>
      </x:c>
      <x:c r="J59" s="7" t="n">
        <x:v>3</x:v>
      </x:c>
      <x:c r="K59" s="7" t="n">
        <x:v>0</x:v>
      </x:c>
      <x:c r="L59" s="7" t="n">
        <x:v>0</x:v>
      </x:c>
      <x:c r="M59" s="7" t="n">
        <x:v>0</x:v>
      </x:c>
      <x:c r="N59" s="7" t="n">
        <x:v>0</x:v>
      </x:c>
      <x:c r="O59" s="7" t="n">
        <x:v>0</x:v>
      </x:c>
      <x:c r="P59" s="7" t="n">
        <x:v>0</x:v>
      </x:c>
      <x:c r="Q59" s="7" t="n">
        <x:v>4</x:v>
      </x:c>
      <x:c r="R59" s="6" t="str">
        <x:v>낙인 추격대 / 에이스 얼음꼬미 / 성장 수단 확장 대비 상향안·실전 미검증</x:v>
      </x:c>
    </x:row>
    <x:row r="60" ht="24" hidden="0" customHeight="1">
      <x:c r="A60" s="7" t="n">
        <x:v>11022</x:v>
      </x:c>
      <x:c r="B60" s="7" t="n">
        <x:v>10</x:v>
      </x:c>
      <x:c r="C60" s="6" t="str">
        <x:v>Normal</x:v>
      </x:c>
      <x:c r="D60" s="6" t="str">
        <x:v>deck_22</x:v>
      </x:c>
      <x:c r="E60" s="7" t="n">
        <x:v>4</x:v>
      </x:c>
      <x:c r="F60" s="7" t="n">
        <x:v>4</x:v>
      </x:c>
      <x:c r="G60" s="7" t="n">
        <x:v>4</x:v>
      </x:c>
      <x:c r="H60" s="7" t="n">
        <x:v>3</x:v>
      </x:c>
      <x:c r="I60" s="7" t="n">
        <x:v>3</x:v>
      </x:c>
      <x:c r="J60" s="7" t="n">
        <x:v>3</x:v>
      </x:c>
      <x:c r="K60" s="7" t="n">
        <x:v>0</x:v>
      </x:c>
      <x:c r="L60" s="7" t="n">
        <x:v>0</x:v>
      </x:c>
      <x:c r="M60" s="7" t="n">
        <x:v>0</x:v>
      </x:c>
      <x:c r="N60" s="7" t="n">
        <x:v>0</x:v>
      </x:c>
      <x:c r="O60" s="7" t="n">
        <x:v>0</x:v>
      </x:c>
      <x:c r="P60" s="7" t="n">
        <x:v>0</x:v>
      </x:c>
      <x:c r="Q60" s="7" t="n">
        <x:v>2</x:v>
      </x:c>
      <x:c r="R60" s="6" t="str">
        <x:v>비늘 + 유산 / 에이스 대장부리 / 성장 수단 확장 대비 상향안·실전 미검증</x:v>
      </x:c>
    </x:row>
    <x:row r="61" ht="24" hidden="0" customHeight="1">
      <x:c r="A61" s="7" t="n">
        <x:v>11101</x:v>
      </x:c>
      <x:c r="B61" s="7" t="n">
        <x:v>11</x:v>
      </x:c>
      <x:c r="C61" s="6" t="str">
        <x:v>Normal</x:v>
      </x:c>
      <x:c r="D61" s="6" t="str">
        <x:v>deck_01</x:v>
      </x:c>
      <x:c r="E61" s="7" t="n">
        <x:v>4</x:v>
      </x:c>
      <x:c r="F61" s="7" t="n">
        <x:v>4</x:v>
      </x:c>
      <x:c r="G61" s="7" t="n">
        <x:v>4</x:v>
      </x:c>
      <x:c r="H61" s="7" t="n">
        <x:v>3</x:v>
      </x:c>
      <x:c r="I61" s="7" t="n">
        <x:v>3</x:v>
      </x:c>
      <x:c r="J61" s="7" t="n">
        <x:v>4</x:v>
      </x:c>
      <x:c r="K61" s="7" t="n">
        <x:v>0</x:v>
      </x:c>
      <x:c r="L61" s="7" t="n">
        <x:v>0</x:v>
      </x:c>
      <x:c r="M61" s="7" t="n">
        <x:v>1</x:v>
      </x:c>
      <x:c r="N61" s="7" t="n">
        <x:v>0</x:v>
      </x:c>
      <x:c r="O61" s="7" t="n">
        <x:v>0</x:v>
      </x:c>
      <x:c r="P61" s="7" t="n">
        <x:v>0</x:v>
      </x:c>
      <x:c r="Q61" s="7" t="n">
        <x:v>3</x:v>
      </x:c>
      <x:c r="R61" s="6" t="str">
        <x:v>낙인 + 포식자 / 에이스 얼음꼬미 / 성장 수단 확장 대비 상향안·실전 미검증</x:v>
      </x:c>
    </x:row>
    <x:row r="62" ht="24" hidden="0" customHeight="1">
      <x:c r="A62" s="7" t="n">
        <x:v>11102</x:v>
      </x:c>
      <x:c r="B62" s="7" t="n">
        <x:v>11</x:v>
      </x:c>
      <x:c r="C62" s="6" t="str">
        <x:v>Normal</x:v>
      </x:c>
      <x:c r="D62" s="6" t="str">
        <x:v>deck_02</x:v>
      </x:c>
      <x:c r="E62" s="7" t="n">
        <x:v>4</x:v>
      </x:c>
      <x:c r="F62" s="7" t="n">
        <x:v>4</x:v>
      </x:c>
      <x:c r="G62" s="7" t="n">
        <x:v>4</x:v>
      </x:c>
      <x:c r="H62" s="7" t="n">
        <x:v>3</x:v>
      </x:c>
      <x:c r="I62" s="7" t="n">
        <x:v>4</x:v>
      </x:c>
      <x:c r="J62" s="7" t="n">
        <x:v>3</x:v>
      </x:c>
      <x:c r="K62" s="7" t="n">
        <x:v>0</x:v>
      </x:c>
      <x:c r="L62" s="7" t="n">
        <x:v>0</x:v>
      </x:c>
      <x:c r="M62" s="7" t="n">
        <x:v>1</x:v>
      </x:c>
      <x:c r="N62" s="7" t="n">
        <x:v>0</x:v>
      </x:c>
      <x:c r="O62" s="7" t="n">
        <x:v>0</x:v>
      </x:c>
      <x:c r="P62" s="7" t="n">
        <x:v>0</x:v>
      </x:c>
      <x:c r="Q62" s="7" t="n">
        <x:v>3</x:v>
      </x:c>
      <x:c r="R62" s="6" t="str">
        <x:v>낙인 + 비늘 / 에이스 얼음꼬미 / 성장 수단 확장 대비 상향안·실전 미검증</x:v>
      </x:c>
    </x:row>
    <x:row r="63" ht="24" hidden="0" customHeight="1">
      <x:c r="A63" s="7" t="n">
        <x:v>11103</x:v>
      </x:c>
      <x:c r="B63" s="7" t="n">
        <x:v>11</x:v>
      </x:c>
      <x:c r="C63" s="6" t="str">
        <x:v>Normal</x:v>
      </x:c>
      <x:c r="D63" s="6" t="str">
        <x:v>deck_03</x:v>
      </x:c>
      <x:c r="E63" s="7" t="n">
        <x:v>4</x:v>
      </x:c>
      <x:c r="F63" s="7" t="n">
        <x:v>4</x:v>
      </x:c>
      <x:c r="G63" s="7" t="n">
        <x:v>4</x:v>
      </x:c>
      <x:c r="H63" s="7" t="n">
        <x:v>3</x:v>
      </x:c>
      <x:c r="I63" s="7" t="n">
        <x:v>3</x:v>
      </x:c>
      <x:c r="J63" s="7" t="n">
        <x:v>4</x:v>
      </x:c>
      <x:c r="K63" s="7" t="n">
        <x:v>0</x:v>
      </x:c>
      <x:c r="L63" s="7" t="n">
        <x:v>0</x:v>
      </x:c>
      <x:c r="M63" s="7" t="n">
        <x:v>0</x:v>
      </x:c>
      <x:c r="N63" s="7" t="n">
        <x:v>0</x:v>
      </x:c>
      <x:c r="O63" s="7" t="n">
        <x:v>0</x:v>
      </x:c>
      <x:c r="P63" s="7" t="n">
        <x:v>1</x:v>
      </x:c>
      <x:c r="Q63" s="7" t="n">
        <x:v>6</x:v>
      </x:c>
      <x:c r="R63" s="6" t="str">
        <x:v>돌보미 + 유산 / 에이스 대장부리 / 성장 수단 확장 대비 상향안·실전 미검증</x:v>
      </x:c>
    </x:row>
    <x:row r="64" ht="24" hidden="0" customHeight="1">
      <x:c r="A64" s="7" t="n">
        <x:v>11104</x:v>
      </x:c>
      <x:c r="B64" s="7" t="n">
        <x:v>11</x:v>
      </x:c>
      <x:c r="C64" s="6" t="str">
        <x:v>Normal</x:v>
      </x:c>
      <x:c r="D64" s="6" t="str">
        <x:v>deck_04</x:v>
      </x:c>
      <x:c r="E64" s="7" t="n">
        <x:v>4</x:v>
      </x:c>
      <x:c r="F64" s="7" t="n">
        <x:v>4</x:v>
      </x:c>
      <x:c r="G64" s="7" t="n">
        <x:v>4</x:v>
      </x:c>
      <x:c r="H64" s="7" t="n">
        <x:v>3</x:v>
      </x:c>
      <x:c r="I64" s="7" t="n">
        <x:v>3</x:v>
      </x:c>
      <x:c r="J64" s="7" t="n">
        <x:v>4</x:v>
      </x:c>
      <x:c r="K64" s="7" t="n">
        <x:v>0</x:v>
      </x:c>
      <x:c r="L64" s="7" t="n">
        <x:v>0</x:v>
      </x:c>
      <x:c r="M64" s="7" t="n">
        <x:v>0</x:v>
      </x:c>
      <x:c r="N64" s="7" t="n">
        <x:v>0</x:v>
      </x:c>
      <x:c r="O64" s="7" t="n">
        <x:v>0</x:v>
      </x:c>
      <x:c r="P64" s="7" t="n">
        <x:v>1</x:v>
      </x:c>
      <x:c r="Q64" s="7" t="n">
        <x:v>6</x:v>
      </x:c>
      <x:c r="R64" s="6" t="str">
        <x:v>돌보미 + 덩치 / 에이스 크랙몬 / 성장 수단 확장 대비 상향안·실전 미검증</x:v>
      </x:c>
    </x:row>
    <x:row r="65" ht="15" hidden="0" customHeight="1">
      <x:c r="A65" s="7" t="n">
        <x:v>11105</x:v>
      </x:c>
      <x:c r="B65" s="7" t="n">
        <x:v>11</x:v>
      </x:c>
      <x:c r="C65" s="6" t="str">
        <x:v>Normal</x:v>
      </x:c>
      <x:c r="D65" s="6" t="str">
        <x:v>deck_05</x:v>
      </x:c>
      <x:c r="E65" s="7" t="n">
        <x:v>4</x:v>
      </x:c>
      <x:c r="F65" s="7" t="n">
        <x:v>4</x:v>
      </x:c>
      <x:c r="G65" s="7" t="n">
        <x:v>4</x:v>
      </x:c>
      <x:c r="H65" s="7" t="n">
        <x:v>3</x:v>
      </x:c>
      <x:c r="I65" s="7" t="n">
        <x:v>4</x:v>
      </x:c>
      <x:c r="J65" s="7" t="n">
        <x:v>3</x:v>
      </x:c>
      <x:c r="K65" s="7" t="n">
        <x:v>0</x:v>
      </x:c>
      <x:c r="L65" s="7" t="n">
        <x:v>0</x:v>
      </x:c>
      <x:c r="M65" s="7" t="n">
        <x:v>1</x:v>
      </x:c>
      <x:c r="N65" s="7" t="n">
        <x:v>0</x:v>
      </x:c>
      <x:c r="O65" s="7" t="n">
        <x:v>0</x:v>
      </x:c>
      <x:c r="P65" s="7" t="n">
        <x:v>0</x:v>
      </x:c>
      <x:c r="Q65" s="7" t="n">
        <x:v>3</x:v>
      </x:c>
      <x:c r="R65" s="6" t="str">
        <x:v>흐름 + 비늘 / 에이스 찌릿핀 / 성장 수단 확장 대비 상향안·실전 미검증</x:v>
      </x:c>
    </x:row>
    <x:row r="66" ht="15" hidden="0" customHeight="1">
      <x:c r="A66" s="7" t="n">
        <x:v>11106</x:v>
      </x:c>
      <x:c r="B66" s="7" t="n">
        <x:v>11</x:v>
      </x:c>
      <x:c r="C66" s="6" t="str">
        <x:v>Normal</x:v>
      </x:c>
      <x:c r="D66" s="6" t="str">
        <x:v>deck_06</x:v>
      </x:c>
      <x:c r="E66" s="7" t="n">
        <x:v>4</x:v>
      </x:c>
      <x:c r="F66" s="7" t="n">
        <x:v>4</x:v>
      </x:c>
      <x:c r="G66" s="7" t="n">
        <x:v>4</x:v>
      </x:c>
      <x:c r="H66" s="7" t="n">
        <x:v>3</x:v>
      </x:c>
      <x:c r="I66" s="7" t="n">
        <x:v>3</x:v>
      </x:c>
      <x:c r="J66" s="7" t="n">
        <x:v>4</x:v>
      </x:c>
      <x:c r="K66" s="7" t="n">
        <x:v>0</x:v>
      </x:c>
      <x:c r="L66" s="7" t="n">
        <x:v>0</x:v>
      </x:c>
      <x:c r="M66" s="7" t="n">
        <x:v>1</x:v>
      </x:c>
      <x:c r="N66" s="7" t="n">
        <x:v>0</x:v>
      </x:c>
      <x:c r="O66" s="7" t="n">
        <x:v>0</x:v>
      </x:c>
      <x:c r="P66" s="7" t="n">
        <x:v>0</x:v>
      </x:c>
      <x:c r="Q66" s="7" t="n">
        <x:v>3</x:v>
      </x:c>
      <x:c r="R66" s="6" t="str">
        <x:v>흐름 + 덩치 / 에이스 찌릿핀 / 성장 수단 확장 대비 상향안·실전 미검증</x:v>
      </x:c>
    </x:row>
    <x:row r="67" ht="15" hidden="0" customHeight="1">
      <x:c r="A67" s="7" t="n">
        <x:v>11107</x:v>
      </x:c>
      <x:c r="B67" s="7" t="n">
        <x:v>11</x:v>
      </x:c>
      <x:c r="C67" s="6" t="str">
        <x:v>Normal</x:v>
      </x:c>
      <x:c r="D67" s="6" t="str">
        <x:v>deck_07</x:v>
      </x:c>
      <x:c r="E67" s="7" t="n">
        <x:v>4</x:v>
      </x:c>
      <x:c r="F67" s="7" t="n">
        <x:v>4</x:v>
      </x:c>
      <x:c r="G67" s="7" t="n">
        <x:v>4</x:v>
      </x:c>
      <x:c r="H67" s="7" t="n">
        <x:v>4</x:v>
      </x:c>
      <x:c r="I67" s="7" t="n">
        <x:v>3</x:v>
      </x:c>
      <x:c r="J67" s="7" t="n">
        <x:v>3</x:v>
      </x:c>
      <x:c r="K67" s="7" t="n">
        <x:v>0</x:v>
      </x:c>
      <x:c r="L67" s="7" t="n">
        <x:v>0</x:v>
      </x:c>
      <x:c r="M67" s="7" t="n">
        <x:v>1</x:v>
      </x:c>
      <x:c r="N67" s="7" t="n">
        <x:v>0</x:v>
      </x:c>
      <x:c r="O67" s="7" t="n">
        <x:v>0</x:v>
      </x:c>
      <x:c r="P67" s="7" t="n">
        <x:v>0</x:v>
      </x:c>
      <x:c r="Q67" s="7" t="n">
        <x:v>3</x:v>
      </x:c>
      <x:c r="R67" s="6" t="str">
        <x:v>추적 + 덩치 / 에이스 꿈먹이 / 성장 수단 확장 대비 상향안·실전 미검증</x:v>
      </x:c>
    </x:row>
    <x:row r="68" ht="24" hidden="0" customHeight="1">
      <x:c r="A68" s="7" t="n">
        <x:v>11108</x:v>
      </x:c>
      <x:c r="B68" s="7" t="n">
        <x:v>11</x:v>
      </x:c>
      <x:c r="C68" s="6" t="str">
        <x:v>Normal</x:v>
      </x:c>
      <x:c r="D68" s="6" t="str">
        <x:v>deck_08</x:v>
      </x:c>
      <x:c r="E68" s="7" t="n">
        <x:v>4</x:v>
      </x:c>
      <x:c r="F68" s="7" t="n">
        <x:v>3</x:v>
      </x:c>
      <x:c r="G68" s="7" t="n">
        <x:v>3</x:v>
      </x:c>
      <x:c r="H68" s="7" t="n">
        <x:v>4</x:v>
      </x:c>
      <x:c r="I68" s="7" t="n">
        <x:v>4</x:v>
      </x:c>
      <x:c r="J68" s="7" t="n">
        <x:v>4</x:v>
      </x:c>
      <x:c r="K68" s="7" t="n">
        <x:v>0</x:v>
      </x:c>
      <x:c r="L68" s="7" t="n">
        <x:v>0</x:v>
      </x:c>
      <x:c r="M68" s="7" t="n">
        <x:v>0</x:v>
      </x:c>
      <x:c r="N68" s="7" t="n">
        <x:v>0</x:v>
      </x:c>
      <x:c r="O68" s="7" t="n">
        <x:v>1</x:v>
      </x:c>
      <x:c r="P68" s="7" t="n">
        <x:v>0</x:v>
      </x:c>
      <x:c r="Q68" s="7" t="n">
        <x:v>5</x:v>
      </x:c>
      <x:c r="R68" s="6" t="str">
        <x:v>유산 돌격대 / 에이스 대장부리 / 성장 수단 확장 대비 상향안·실전 미검증</x:v>
      </x:c>
    </x:row>
    <x:row r="69" ht="24" hidden="0" customHeight="1">
      <x:c r="A69" s="7" t="n">
        <x:v>11201</x:v>
      </x:c>
      <x:c r="B69" s="7" t="n">
        <x:v>12</x:v>
      </x:c>
      <x:c r="C69" s="6" t="str">
        <x:v>Normal</x:v>
      </x:c>
      <x:c r="D69" s="6" t="str">
        <x:v>deck_01</x:v>
      </x:c>
      <x:c r="E69" s="7" t="n">
        <x:v>4</x:v>
      </x:c>
      <x:c r="F69" s="7" t="n">
        <x:v>4</x:v>
      </x:c>
      <x:c r="G69" s="7" t="n">
        <x:v>4</x:v>
      </x:c>
      <x:c r="H69" s="7" t="n">
        <x:v>3</x:v>
      </x:c>
      <x:c r="I69" s="7" t="n">
        <x:v>3</x:v>
      </x:c>
      <x:c r="J69" s="7" t="n">
        <x:v>4</x:v>
      </x:c>
      <x:c r="K69" s="7" t="n">
        <x:v>0</x:v>
      </x:c>
      <x:c r="L69" s="7" t="n">
        <x:v>0</x:v>
      </x:c>
      <x:c r="M69" s="7" t="n">
        <x:v>1</x:v>
      </x:c>
      <x:c r="N69" s="7" t="n">
        <x:v>0</x:v>
      </x:c>
      <x:c r="O69" s="7" t="n">
        <x:v>0</x:v>
      </x:c>
      <x:c r="P69" s="7" t="n">
        <x:v>0</x:v>
      </x:c>
      <x:c r="Q69" s="7" t="n">
        <x:v>3</x:v>
      </x:c>
      <x:c r="R69" s="6" t="str">
        <x:v>낙인 + 포식자 / 에이스 얼음꼬미 / 성장 수단 확장 대비 상향안·실전 미검증</x:v>
      </x:c>
    </x:row>
    <x:row r="70" ht="24" hidden="0" customHeight="1">
      <x:c r="A70" s="7" t="n">
        <x:v>11202</x:v>
      </x:c>
      <x:c r="B70" s="7" t="n">
        <x:v>12</x:v>
      </x:c>
      <x:c r="C70" s="6" t="str">
        <x:v>Normal</x:v>
      </x:c>
      <x:c r="D70" s="6" t="str">
        <x:v>deck_02</x:v>
      </x:c>
      <x:c r="E70" s="7" t="n">
        <x:v>4</x:v>
      </x:c>
      <x:c r="F70" s="7" t="n">
        <x:v>4</x:v>
      </x:c>
      <x:c r="G70" s="7" t="n">
        <x:v>4</x:v>
      </x:c>
      <x:c r="H70" s="7" t="n">
        <x:v>3</x:v>
      </x:c>
      <x:c r="I70" s="7" t="n">
        <x:v>4</x:v>
      </x:c>
      <x:c r="J70" s="7" t="n">
        <x:v>3</x:v>
      </x:c>
      <x:c r="K70" s="7" t="n">
        <x:v>0</x:v>
      </x:c>
      <x:c r="L70" s="7" t="n">
        <x:v>0</x:v>
      </x:c>
      <x:c r="M70" s="7" t="n">
        <x:v>1</x:v>
      </x:c>
      <x:c r="N70" s="7" t="n">
        <x:v>0</x:v>
      </x:c>
      <x:c r="O70" s="7" t="n">
        <x:v>0</x:v>
      </x:c>
      <x:c r="P70" s="7" t="n">
        <x:v>0</x:v>
      </x:c>
      <x:c r="Q70" s="7" t="n">
        <x:v>3</x:v>
      </x:c>
      <x:c r="R70" s="6" t="str">
        <x:v>낙인 + 비늘 / 에이스 얼음꼬미 / 성장 수단 확장 대비 상향안·실전 미검증</x:v>
      </x:c>
    </x:row>
    <x:row r="71" ht="24" hidden="0" customHeight="1">
      <x:c r="A71" s="7" t="n">
        <x:v>11203</x:v>
      </x:c>
      <x:c r="B71" s="7" t="n">
        <x:v>12</x:v>
      </x:c>
      <x:c r="C71" s="6" t="str">
        <x:v>Normal</x:v>
      </x:c>
      <x:c r="D71" s="6" t="str">
        <x:v>deck_03</x:v>
      </x:c>
      <x:c r="E71" s="7" t="n">
        <x:v>4</x:v>
      </x:c>
      <x:c r="F71" s="7" t="n">
        <x:v>4</x:v>
      </x:c>
      <x:c r="G71" s="7" t="n">
        <x:v>4</x:v>
      </x:c>
      <x:c r="H71" s="7" t="n">
        <x:v>3</x:v>
      </x:c>
      <x:c r="I71" s="7" t="n">
        <x:v>3</x:v>
      </x:c>
      <x:c r="J71" s="7" t="n">
        <x:v>4</x:v>
      </x:c>
      <x:c r="K71" s="7" t="n">
        <x:v>0</x:v>
      </x:c>
      <x:c r="L71" s="7" t="n">
        <x:v>0</x:v>
      </x:c>
      <x:c r="M71" s="7" t="n">
        <x:v>0</x:v>
      </x:c>
      <x:c r="N71" s="7" t="n">
        <x:v>0</x:v>
      </x:c>
      <x:c r="O71" s="7" t="n">
        <x:v>0</x:v>
      </x:c>
      <x:c r="P71" s="7" t="n">
        <x:v>1</x:v>
      </x:c>
      <x:c r="Q71" s="7" t="n">
        <x:v>6</x:v>
      </x:c>
      <x:c r="R71" s="6" t="str">
        <x:v>돌보미 + 유산 / 에이스 대장부리 / 성장 수단 확장 대비 상향안·실전 미검증</x:v>
      </x:c>
    </x:row>
    <x:row r="72" ht="24" hidden="0" customHeight="1">
      <x:c r="A72" s="7" t="n">
        <x:v>11204</x:v>
      </x:c>
      <x:c r="B72" s="7" t="n">
        <x:v>12</x:v>
      </x:c>
      <x:c r="C72" s="6" t="str">
        <x:v>Normal</x:v>
      </x:c>
      <x:c r="D72" s="6" t="str">
        <x:v>deck_04</x:v>
      </x:c>
      <x:c r="E72" s="7" t="n">
        <x:v>4</x:v>
      </x:c>
      <x:c r="F72" s="7" t="n">
        <x:v>4</x:v>
      </x:c>
      <x:c r="G72" s="7" t="n">
        <x:v>4</x:v>
      </x:c>
      <x:c r="H72" s="7" t="n">
        <x:v>3</x:v>
      </x:c>
      <x:c r="I72" s="7" t="n">
        <x:v>3</x:v>
      </x:c>
      <x:c r="J72" s="7" t="n">
        <x:v>4</x:v>
      </x:c>
      <x:c r="K72" s="7" t="n">
        <x:v>0</x:v>
      </x:c>
      <x:c r="L72" s="7" t="n">
        <x:v>0</x:v>
      </x:c>
      <x:c r="M72" s="7" t="n">
        <x:v>0</x:v>
      </x:c>
      <x:c r="N72" s="7" t="n">
        <x:v>0</x:v>
      </x:c>
      <x:c r="O72" s="7" t="n">
        <x:v>0</x:v>
      </x:c>
      <x:c r="P72" s="7" t="n">
        <x:v>1</x:v>
      </x:c>
      <x:c r="Q72" s="7" t="n">
        <x:v>6</x:v>
      </x:c>
      <x:c r="R72" s="6" t="str">
        <x:v>돌보미 + 덩치 / 에이스 크랙몬 / 성장 수단 확장 대비 상향안·실전 미검증</x:v>
      </x:c>
    </x:row>
    <x:row r="73" ht="15" hidden="0" customHeight="1">
      <x:c r="A73" s="7" t="n">
        <x:v>11205</x:v>
      </x:c>
      <x:c r="B73" s="7" t="n">
        <x:v>12</x:v>
      </x:c>
      <x:c r="C73" s="6" t="str">
        <x:v>Normal</x:v>
      </x:c>
      <x:c r="D73" s="6" t="str">
        <x:v>deck_05</x:v>
      </x:c>
      <x:c r="E73" s="7" t="n">
        <x:v>4</x:v>
      </x:c>
      <x:c r="F73" s="7" t="n">
        <x:v>4</x:v>
      </x:c>
      <x:c r="G73" s="7" t="n">
        <x:v>4</x:v>
      </x:c>
      <x:c r="H73" s="7" t="n">
        <x:v>3</x:v>
      </x:c>
      <x:c r="I73" s="7" t="n">
        <x:v>4</x:v>
      </x:c>
      <x:c r="J73" s="7" t="n">
        <x:v>3</x:v>
      </x:c>
      <x:c r="K73" s="7" t="n">
        <x:v>0</x:v>
      </x:c>
      <x:c r="L73" s="7" t="n">
        <x:v>0</x:v>
      </x:c>
      <x:c r="M73" s="7" t="n">
        <x:v>1</x:v>
      </x:c>
      <x:c r="N73" s="7" t="n">
        <x:v>0</x:v>
      </x:c>
      <x:c r="O73" s="7" t="n">
        <x:v>0</x:v>
      </x:c>
      <x:c r="P73" s="7" t="n">
        <x:v>0</x:v>
      </x:c>
      <x:c r="Q73" s="7" t="n">
        <x:v>3</x:v>
      </x:c>
      <x:c r="R73" s="6" t="str">
        <x:v>흐름 + 비늘 / 에이스 찌릿핀 / 성장 수단 확장 대비 상향안·실전 미검증</x:v>
      </x:c>
    </x:row>
    <x:row r="74" ht="15" hidden="0" customHeight="1">
      <x:c r="A74" s="7" t="n">
        <x:v>11206</x:v>
      </x:c>
      <x:c r="B74" s="7" t="n">
        <x:v>12</x:v>
      </x:c>
      <x:c r="C74" s="6" t="str">
        <x:v>Normal</x:v>
      </x:c>
      <x:c r="D74" s="6" t="str">
        <x:v>deck_06</x:v>
      </x:c>
      <x:c r="E74" s="7" t="n">
        <x:v>4</x:v>
      </x:c>
      <x:c r="F74" s="7" t="n">
        <x:v>4</x:v>
      </x:c>
      <x:c r="G74" s="7" t="n">
        <x:v>4</x:v>
      </x:c>
      <x:c r="H74" s="7" t="n">
        <x:v>3</x:v>
      </x:c>
      <x:c r="I74" s="7" t="n">
        <x:v>3</x:v>
      </x:c>
      <x:c r="J74" s="7" t="n">
        <x:v>4</x:v>
      </x:c>
      <x:c r="K74" s="7" t="n">
        <x:v>0</x:v>
      </x:c>
      <x:c r="L74" s="7" t="n">
        <x:v>0</x:v>
      </x:c>
      <x:c r="M74" s="7" t="n">
        <x:v>1</x:v>
      </x:c>
      <x:c r="N74" s="7" t="n">
        <x:v>0</x:v>
      </x:c>
      <x:c r="O74" s="7" t="n">
        <x:v>0</x:v>
      </x:c>
      <x:c r="P74" s="7" t="n">
        <x:v>0</x:v>
      </x:c>
      <x:c r="Q74" s="7" t="n">
        <x:v>3</x:v>
      </x:c>
      <x:c r="R74" s="6" t="str">
        <x:v>흐름 + 덩치 / 에이스 찌릿핀 / 성장 수단 확장 대비 상향안·실전 미검증</x:v>
      </x:c>
    </x:row>
    <x:row r="75" ht="15" hidden="0" customHeight="1">
      <x:c r="A75" s="7" t="n">
        <x:v>11207</x:v>
      </x:c>
      <x:c r="B75" s="7" t="n">
        <x:v>12</x:v>
      </x:c>
      <x:c r="C75" s="6" t="str">
        <x:v>Normal</x:v>
      </x:c>
      <x:c r="D75" s="6" t="str">
        <x:v>deck_07</x:v>
      </x:c>
      <x:c r="E75" s="7" t="n">
        <x:v>4</x:v>
      </x:c>
      <x:c r="F75" s="7" t="n">
        <x:v>4</x:v>
      </x:c>
      <x:c r="G75" s="7" t="n">
        <x:v>4</x:v>
      </x:c>
      <x:c r="H75" s="7" t="n">
        <x:v>4</x:v>
      </x:c>
      <x:c r="I75" s="7" t="n">
        <x:v>3</x:v>
      </x:c>
      <x:c r="J75" s="7" t="n">
        <x:v>3</x:v>
      </x:c>
      <x:c r="K75" s="7" t="n">
        <x:v>0</x:v>
      </x:c>
      <x:c r="L75" s="7" t="n">
        <x:v>0</x:v>
      </x:c>
      <x:c r="M75" s="7" t="n">
        <x:v>1</x:v>
      </x:c>
      <x:c r="N75" s="7" t="n">
        <x:v>0</x:v>
      </x:c>
      <x:c r="O75" s="7" t="n">
        <x:v>0</x:v>
      </x:c>
      <x:c r="P75" s="7" t="n">
        <x:v>0</x:v>
      </x:c>
      <x:c r="Q75" s="7" t="n">
        <x:v>3</x:v>
      </x:c>
      <x:c r="R75" s="6" t="str">
        <x:v>추적 + 덩치 / 에이스 꿈먹이 / 성장 수단 확장 대비 상향안·실전 미검증</x:v>
      </x:c>
    </x:row>
    <x:row r="76" ht="24" hidden="0" customHeight="1">
      <x:c r="A76" s="7" t="n">
        <x:v>11208</x:v>
      </x:c>
      <x:c r="B76" s="7" t="n">
        <x:v>12</x:v>
      </x:c>
      <x:c r="C76" s="6" t="str">
        <x:v>Normal</x:v>
      </x:c>
      <x:c r="D76" s="6" t="str">
        <x:v>deck_08</x:v>
      </x:c>
      <x:c r="E76" s="7" t="n">
        <x:v>4</x:v>
      </x:c>
      <x:c r="F76" s="7" t="n">
        <x:v>3</x:v>
      </x:c>
      <x:c r="G76" s="7" t="n">
        <x:v>3</x:v>
      </x:c>
      <x:c r="H76" s="7" t="n">
        <x:v>4</x:v>
      </x:c>
      <x:c r="I76" s="7" t="n">
        <x:v>4</x:v>
      </x:c>
      <x:c r="J76" s="7" t="n">
        <x:v>4</x:v>
      </x:c>
      <x:c r="K76" s="7" t="n">
        <x:v>0</x:v>
      </x:c>
      <x:c r="L76" s="7" t="n">
        <x:v>0</x:v>
      </x:c>
      <x:c r="M76" s="7" t="n">
        <x:v>0</x:v>
      </x:c>
      <x:c r="N76" s="7" t="n">
        <x:v>0</x:v>
      </x:c>
      <x:c r="O76" s="7" t="n">
        <x:v>1</x:v>
      </x:c>
      <x:c r="P76" s="7" t="n">
        <x:v>0</x:v>
      </x:c>
      <x:c r="Q76" s="7" t="n">
        <x:v>5</x:v>
      </x:c>
      <x:c r="R76" s="6" t="str">
        <x:v>유산 돌격대 / 에이스 대장부리 / 성장 수단 확장 대비 상향안·실전 미검증</x:v>
      </x:c>
    </x:row>
    <x:row r="77" ht="24" hidden="0" customHeight="1">
      <x:c r="A77" s="7" t="n">
        <x:v>11301</x:v>
      </x:c>
      <x:c r="B77" s="7" t="n">
        <x:v>13</x:v>
      </x:c>
      <x:c r="C77" s="6" t="str">
        <x:v>Normal</x:v>
      </x:c>
      <x:c r="D77" s="6" t="str">
        <x:v>deck_01</x:v>
      </x:c>
      <x:c r="E77" s="7" t="n">
        <x:v>4</x:v>
      </x:c>
      <x:c r="F77" s="7" t="n">
        <x:v>4</x:v>
      </x:c>
      <x:c r="G77" s="7" t="n">
        <x:v>4</x:v>
      </x:c>
      <x:c r="H77" s="7" t="n">
        <x:v>3</x:v>
      </x:c>
      <x:c r="I77" s="7" t="n">
        <x:v>4</x:v>
      </x:c>
      <x:c r="J77" s="7" t="n">
        <x:v>4</x:v>
      </x:c>
      <x:c r="K77" s="7" t="n">
        <x:v>0</x:v>
      </x:c>
      <x:c r="L77" s="7" t="n">
        <x:v>0</x:v>
      </x:c>
      <x:c r="M77" s="7" t="n">
        <x:v>1</x:v>
      </x:c>
      <x:c r="N77" s="7" t="n">
        <x:v>0</x:v>
      </x:c>
      <x:c r="O77" s="7" t="n">
        <x:v>0</x:v>
      </x:c>
      <x:c r="P77" s="7" t="n">
        <x:v>1</x:v>
      </x:c>
      <x:c r="Q77" s="7" t="n">
        <x:v>3</x:v>
      </x:c>
      <x:c r="R77" s="6" t="str">
        <x:v>낙인 + 포식자 / 에이스 얼음꼬미 / 성장 수단 확장 대비 상향안·실전 미검증</x:v>
      </x:c>
    </x:row>
    <x:row r="78" ht="24" hidden="0" customHeight="1">
      <x:c r="A78" s="7" t="n">
        <x:v>11302</x:v>
      </x:c>
      <x:c r="B78" s="7" t="n">
        <x:v>13</x:v>
      </x:c>
      <x:c r="C78" s="6" t="str">
        <x:v>Normal</x:v>
      </x:c>
      <x:c r="D78" s="6" t="str">
        <x:v>deck_02</x:v>
      </x:c>
      <x:c r="E78" s="7" t="n">
        <x:v>4</x:v>
      </x:c>
      <x:c r="F78" s="7" t="n">
        <x:v>4</x:v>
      </x:c>
      <x:c r="G78" s="7" t="n">
        <x:v>4</x:v>
      </x:c>
      <x:c r="H78" s="7" t="n">
        <x:v>3</x:v>
      </x:c>
      <x:c r="I78" s="7" t="n">
        <x:v>4</x:v>
      </x:c>
      <x:c r="J78" s="7" t="n">
        <x:v>4</x:v>
      </x:c>
      <x:c r="K78" s="7" t="n">
        <x:v>0</x:v>
      </x:c>
      <x:c r="L78" s="7" t="n">
        <x:v>0</x:v>
      </x:c>
      <x:c r="M78" s="7" t="n">
        <x:v>1</x:v>
      </x:c>
      <x:c r="N78" s="7" t="n">
        <x:v>0</x:v>
      </x:c>
      <x:c r="O78" s="7" t="n">
        <x:v>1</x:v>
      </x:c>
      <x:c r="P78" s="7" t="n">
        <x:v>0</x:v>
      </x:c>
      <x:c r="Q78" s="7" t="n">
        <x:v>3</x:v>
      </x:c>
      <x:c r="R78" s="6" t="str">
        <x:v>낙인 + 비늘 / 에이스 얼음꼬미 / 성장 수단 확장 대비 상향안·실전 미검증</x:v>
      </x:c>
    </x:row>
    <x:row r="79" ht="24" hidden="0" customHeight="1">
      <x:c r="A79" s="7" t="n">
        <x:v>11303</x:v>
      </x:c>
      <x:c r="B79" s="7" t="n">
        <x:v>13</x:v>
      </x:c>
      <x:c r="C79" s="6" t="str">
        <x:v>Normal</x:v>
      </x:c>
      <x:c r="D79" s="6" t="str">
        <x:v>deck_03</x:v>
      </x:c>
      <x:c r="E79" s="7" t="n">
        <x:v>4</x:v>
      </x:c>
      <x:c r="F79" s="7" t="n">
        <x:v>4</x:v>
      </x:c>
      <x:c r="G79" s="7" t="n">
        <x:v>4</x:v>
      </x:c>
      <x:c r="H79" s="7" t="n">
        <x:v>3</x:v>
      </x:c>
      <x:c r="I79" s="7" t="n">
        <x:v>4</x:v>
      </x:c>
      <x:c r="J79" s="7" t="n">
        <x:v>4</x:v>
      </x:c>
      <x:c r="K79" s="7" t="n">
        <x:v>0</x:v>
      </x:c>
      <x:c r="L79" s="7" t="n">
        <x:v>1</x:v>
      </x:c>
      <x:c r="M79" s="7" t="n">
        <x:v>0</x:v>
      </x:c>
      <x:c r="N79" s="7" t="n">
        <x:v>0</x:v>
      </x:c>
      <x:c r="O79" s="7" t="n">
        <x:v>0</x:v>
      </x:c>
      <x:c r="P79" s="7" t="n">
        <x:v>1</x:v>
      </x:c>
      <x:c r="Q79" s="7" t="n">
        <x:v>6</x:v>
      </x:c>
      <x:c r="R79" s="6" t="str">
        <x:v>돌보미 + 유산 / 에이스 대장부리 / 성장 수단 확장 대비 상향안·실전 미검증</x:v>
      </x:c>
    </x:row>
    <x:row r="80" ht="24" hidden="0" customHeight="1">
      <x:c r="A80" s="7" t="n">
        <x:v>11304</x:v>
      </x:c>
      <x:c r="B80" s="7" t="n">
        <x:v>13</x:v>
      </x:c>
      <x:c r="C80" s="6" t="str">
        <x:v>Normal</x:v>
      </x:c>
      <x:c r="D80" s="6" t="str">
        <x:v>deck_04</x:v>
      </x:c>
      <x:c r="E80" s="7" t="n">
        <x:v>4</x:v>
      </x:c>
      <x:c r="F80" s="7" t="n">
        <x:v>4</x:v>
      </x:c>
      <x:c r="G80" s="7" t="n">
        <x:v>4</x:v>
      </x:c>
      <x:c r="H80" s="7" t="n">
        <x:v>3</x:v>
      </x:c>
      <x:c r="I80" s="7" t="n">
        <x:v>4</x:v>
      </x:c>
      <x:c r="J80" s="7" t="n">
        <x:v>4</x:v>
      </x:c>
      <x:c r="K80" s="7" t="n">
        <x:v>0</x:v>
      </x:c>
      <x:c r="L80" s="7" t="n">
        <x:v>1</x:v>
      </x:c>
      <x:c r="M80" s="7" t="n">
        <x:v>0</x:v>
      </x:c>
      <x:c r="N80" s="7" t="n">
        <x:v>0</x:v>
      </x:c>
      <x:c r="O80" s="7" t="n">
        <x:v>0</x:v>
      </x:c>
      <x:c r="P80" s="7" t="n">
        <x:v>1</x:v>
      </x:c>
      <x:c r="Q80" s="7" t="n">
        <x:v>6</x:v>
      </x:c>
      <x:c r="R80" s="6" t="str">
        <x:v>돌보미 + 덩치 / 에이스 크랙몬 / 성장 수단 확장 대비 상향안·실전 미검증</x:v>
      </x:c>
    </x:row>
    <x:row r="81" ht="15" hidden="0" customHeight="1">
      <x:c r="A81" s="7" t="n">
        <x:v>11305</x:v>
      </x:c>
      <x:c r="B81" s="7" t="n">
        <x:v>13</x:v>
      </x:c>
      <x:c r="C81" s="6" t="str">
        <x:v>Normal</x:v>
      </x:c>
      <x:c r="D81" s="6" t="str">
        <x:v>deck_05</x:v>
      </x:c>
      <x:c r="E81" s="7" t="n">
        <x:v>4</x:v>
      </x:c>
      <x:c r="F81" s="7" t="n">
        <x:v>4</x:v>
      </x:c>
      <x:c r="G81" s="7" t="n">
        <x:v>4</x:v>
      </x:c>
      <x:c r="H81" s="7" t="n">
        <x:v>3</x:v>
      </x:c>
      <x:c r="I81" s="7" t="n">
        <x:v>4</x:v>
      </x:c>
      <x:c r="J81" s="7" t="n">
        <x:v>4</x:v>
      </x:c>
      <x:c r="K81" s="7" t="n">
        <x:v>0</x:v>
      </x:c>
      <x:c r="L81" s="7" t="n">
        <x:v>0</x:v>
      </x:c>
      <x:c r="M81" s="7" t="n">
        <x:v>1</x:v>
      </x:c>
      <x:c r="N81" s="7" t="n">
        <x:v>0</x:v>
      </x:c>
      <x:c r="O81" s="7" t="n">
        <x:v>1</x:v>
      </x:c>
      <x:c r="P81" s="7" t="n">
        <x:v>0</x:v>
      </x:c>
      <x:c r="Q81" s="7" t="n">
        <x:v>3</x:v>
      </x:c>
      <x:c r="R81" s="6" t="str">
        <x:v>흐름 + 비늘 / 에이스 찌릿핀 / 성장 수단 확장 대비 상향안·실전 미검증</x:v>
      </x:c>
    </x:row>
    <x:row r="82" ht="15" hidden="0" customHeight="1">
      <x:c r="A82" s="7" t="n">
        <x:v>11306</x:v>
      </x:c>
      <x:c r="B82" s="7" t="n">
        <x:v>13</x:v>
      </x:c>
      <x:c r="C82" s="6" t="str">
        <x:v>Normal</x:v>
      </x:c>
      <x:c r="D82" s="6" t="str">
        <x:v>deck_06</x:v>
      </x:c>
      <x:c r="E82" s="7" t="n">
        <x:v>4</x:v>
      </x:c>
      <x:c r="F82" s="7" t="n">
        <x:v>4</x:v>
      </x:c>
      <x:c r="G82" s="7" t="n">
        <x:v>4</x:v>
      </x:c>
      <x:c r="H82" s="7" t="n">
        <x:v>3</x:v>
      </x:c>
      <x:c r="I82" s="7" t="n">
        <x:v>4</x:v>
      </x:c>
      <x:c r="J82" s="7" t="n">
        <x:v>4</x:v>
      </x:c>
      <x:c r="K82" s="7" t="n">
        <x:v>0</x:v>
      </x:c>
      <x:c r="L82" s="7" t="n">
        <x:v>0</x:v>
      </x:c>
      <x:c r="M82" s="7" t="n">
        <x:v>1</x:v>
      </x:c>
      <x:c r="N82" s="7" t="n">
        <x:v>0</x:v>
      </x:c>
      <x:c r="O82" s="7" t="n">
        <x:v>0</x:v>
      </x:c>
      <x:c r="P82" s="7" t="n">
        <x:v>1</x:v>
      </x:c>
      <x:c r="Q82" s="7" t="n">
        <x:v>3</x:v>
      </x:c>
      <x:c r="R82" s="6" t="str">
        <x:v>흐름 + 덩치 / 에이스 찌릿핀 / 성장 수단 확장 대비 상향안·실전 미검증</x:v>
      </x:c>
    </x:row>
    <x:row r="83" ht="15" hidden="0" customHeight="1">
      <x:c r="A83" s="7" t="n">
        <x:v>11307</x:v>
      </x:c>
      <x:c r="B83" s="7" t="n">
        <x:v>13</x:v>
      </x:c>
      <x:c r="C83" s="6" t="str">
        <x:v>Normal</x:v>
      </x:c>
      <x:c r="D83" s="6" t="str">
        <x:v>deck_07</x:v>
      </x:c>
      <x:c r="E83" s="7" t="n">
        <x:v>4</x:v>
      </x:c>
      <x:c r="F83" s="7" t="n">
        <x:v>4</x:v>
      </x:c>
      <x:c r="G83" s="7" t="n">
        <x:v>4</x:v>
      </x:c>
      <x:c r="H83" s="7" t="n">
        <x:v>4</x:v>
      </x:c>
      <x:c r="I83" s="7" t="n">
        <x:v>3</x:v>
      </x:c>
      <x:c r="J83" s="7" t="n">
        <x:v>4</x:v>
      </x:c>
      <x:c r="K83" s="7" t="n">
        <x:v>0</x:v>
      </x:c>
      <x:c r="L83" s="7" t="n">
        <x:v>1</x:v>
      </x:c>
      <x:c r="M83" s="7" t="n">
        <x:v>1</x:v>
      </x:c>
      <x:c r="N83" s="7" t="n">
        <x:v>0</x:v>
      </x:c>
      <x:c r="O83" s="7" t="n">
        <x:v>0</x:v>
      </x:c>
      <x:c r="P83" s="7" t="n">
        <x:v>0</x:v>
      </x:c>
      <x:c r="Q83" s="7" t="n">
        <x:v>3</x:v>
      </x:c>
      <x:c r="R83" s="6" t="str">
        <x:v>추적 + 덩치 / 에이스 꿈먹이 / 성장 수단 확장 대비 상향안·실전 미검증</x:v>
      </x:c>
    </x:row>
    <x:row r="84" ht="24" hidden="0" customHeight="1">
      <x:c r="A84" s="7" t="n">
        <x:v>11308</x:v>
      </x:c>
      <x:c r="B84" s="7" t="n">
        <x:v>13</x:v>
      </x:c>
      <x:c r="C84" s="6" t="str">
        <x:v>Normal</x:v>
      </x:c>
      <x:c r="D84" s="6" t="str">
        <x:v>deck_08</x:v>
      </x:c>
      <x:c r="E84" s="7" t="n">
        <x:v>4</x:v>
      </x:c>
      <x:c r="F84" s="7" t="n">
        <x:v>3</x:v>
      </x:c>
      <x:c r="G84" s="7" t="n">
        <x:v>4</x:v>
      </x:c>
      <x:c r="H84" s="7" t="n">
        <x:v>4</x:v>
      </x:c>
      <x:c r="I84" s="7" t="n">
        <x:v>4</x:v>
      </x:c>
      <x:c r="J84" s="7" t="n">
        <x:v>4</x:v>
      </x:c>
      <x:c r="K84" s="7" t="n">
        <x:v>0</x:v>
      </x:c>
      <x:c r="L84" s="7" t="n">
        <x:v>0</x:v>
      </x:c>
      <x:c r="M84" s="7" t="n">
        <x:v>0</x:v>
      </x:c>
      <x:c r="N84" s="7" t="n">
        <x:v>0</x:v>
      </x:c>
      <x:c r="O84" s="7" t="n">
        <x:v>1</x:v>
      </x:c>
      <x:c r="P84" s="7" t="n">
        <x:v>1</x:v>
      </x:c>
      <x:c r="Q84" s="7" t="n">
        <x:v>5</x:v>
      </x:c>
      <x:c r="R84" s="6" t="str">
        <x:v>유산 돌격대 / 에이스 대장부리 / 성장 수단 확장 대비 상향안·실전 미검증</x:v>
      </x:c>
    </x:row>
    <x:row r="85" ht="24" hidden="0" customHeight="1">
      <x:c r="A85" s="7" t="n">
        <x:v>11401</x:v>
      </x:c>
      <x:c r="B85" s="7" t="n">
        <x:v>14</x:v>
      </x:c>
      <x:c r="C85" s="6" t="str">
        <x:v>Normal</x:v>
      </x:c>
      <x:c r="D85" s="6" t="str">
        <x:v>deck_01</x:v>
      </x:c>
      <x:c r="E85" s="7" t="n">
        <x:v>4</x:v>
      </x:c>
      <x:c r="F85" s="7" t="n">
        <x:v>4</x:v>
      </x:c>
      <x:c r="G85" s="7" t="n">
        <x:v>4</x:v>
      </x:c>
      <x:c r="H85" s="7" t="n">
        <x:v>3</x:v>
      </x:c>
      <x:c r="I85" s="7" t="n">
        <x:v>4</x:v>
      </x:c>
      <x:c r="J85" s="7" t="n">
        <x:v>4</x:v>
      </x:c>
      <x:c r="K85" s="7" t="n">
        <x:v>0</x:v>
      </x:c>
      <x:c r="L85" s="7" t="n">
        <x:v>0</x:v>
      </x:c>
      <x:c r="M85" s="7" t="n">
        <x:v>1</x:v>
      </x:c>
      <x:c r="N85" s="7" t="n">
        <x:v>0</x:v>
      </x:c>
      <x:c r="O85" s="7" t="n">
        <x:v>0</x:v>
      </x:c>
      <x:c r="P85" s="7" t="n">
        <x:v>1</x:v>
      </x:c>
      <x:c r="Q85" s="7" t="n">
        <x:v>3</x:v>
      </x:c>
      <x:c r="R85" s="6" t="str">
        <x:v>낙인 + 포식자 / 에이스 얼음꼬미 / 성장 수단 확장 대비 상향안·실전 미검증</x:v>
      </x:c>
    </x:row>
    <x:row r="86" ht="24" hidden="0" customHeight="1">
      <x:c r="A86" s="7" t="n">
        <x:v>11402</x:v>
      </x:c>
      <x:c r="B86" s="7" t="n">
        <x:v>14</x:v>
      </x:c>
      <x:c r="C86" s="6" t="str">
        <x:v>Normal</x:v>
      </x:c>
      <x:c r="D86" s="6" t="str">
        <x:v>deck_02</x:v>
      </x:c>
      <x:c r="E86" s="7" t="n">
        <x:v>4</x:v>
      </x:c>
      <x:c r="F86" s="7" t="n">
        <x:v>4</x:v>
      </x:c>
      <x:c r="G86" s="7" t="n">
        <x:v>4</x:v>
      </x:c>
      <x:c r="H86" s="7" t="n">
        <x:v>3</x:v>
      </x:c>
      <x:c r="I86" s="7" t="n">
        <x:v>4</x:v>
      </x:c>
      <x:c r="J86" s="7" t="n">
        <x:v>4</x:v>
      </x:c>
      <x:c r="K86" s="7" t="n">
        <x:v>0</x:v>
      </x:c>
      <x:c r="L86" s="7" t="n">
        <x:v>0</x:v>
      </x:c>
      <x:c r="M86" s="7" t="n">
        <x:v>1</x:v>
      </x:c>
      <x:c r="N86" s="7" t="n">
        <x:v>0</x:v>
      </x:c>
      <x:c r="O86" s="7" t="n">
        <x:v>1</x:v>
      </x:c>
      <x:c r="P86" s="7" t="n">
        <x:v>0</x:v>
      </x:c>
      <x:c r="Q86" s="7" t="n">
        <x:v>3</x:v>
      </x:c>
      <x:c r="R86" s="6" t="str">
        <x:v>낙인 + 비늘 / 에이스 얼음꼬미 / 성장 수단 확장 대비 상향안·실전 미검증</x:v>
      </x:c>
    </x:row>
    <x:row r="87" ht="24" hidden="0" customHeight="1">
      <x:c r="A87" s="7" t="n">
        <x:v>11403</x:v>
      </x:c>
      <x:c r="B87" s="7" t="n">
        <x:v>14</x:v>
      </x:c>
      <x:c r="C87" s="6" t="str">
        <x:v>Normal</x:v>
      </x:c>
      <x:c r="D87" s="6" t="str">
        <x:v>deck_03</x:v>
      </x:c>
      <x:c r="E87" s="7" t="n">
        <x:v>4</x:v>
      </x:c>
      <x:c r="F87" s="7" t="n">
        <x:v>4</x:v>
      </x:c>
      <x:c r="G87" s="7" t="n">
        <x:v>4</x:v>
      </x:c>
      <x:c r="H87" s="7" t="n">
        <x:v>3</x:v>
      </x:c>
      <x:c r="I87" s="7" t="n">
        <x:v>4</x:v>
      </x:c>
      <x:c r="J87" s="7" t="n">
        <x:v>4</x:v>
      </x:c>
      <x:c r="K87" s="7" t="n">
        <x:v>0</x:v>
      </x:c>
      <x:c r="L87" s="7" t="n">
        <x:v>1</x:v>
      </x:c>
      <x:c r="M87" s="7" t="n">
        <x:v>0</x:v>
      </x:c>
      <x:c r="N87" s="7" t="n">
        <x:v>0</x:v>
      </x:c>
      <x:c r="O87" s="7" t="n">
        <x:v>0</x:v>
      </x:c>
      <x:c r="P87" s="7" t="n">
        <x:v>1</x:v>
      </x:c>
      <x:c r="Q87" s="7" t="n">
        <x:v>6</x:v>
      </x:c>
      <x:c r="R87" s="6" t="str">
        <x:v>돌보미 + 유산 / 에이스 대장부리 / 성장 수단 확장 대비 상향안·실전 미검증</x:v>
      </x:c>
    </x:row>
    <x:row r="88" ht="24" hidden="0" customHeight="1">
      <x:c r="A88" s="7" t="n">
        <x:v>11404</x:v>
      </x:c>
      <x:c r="B88" s="7" t="n">
        <x:v>14</x:v>
      </x:c>
      <x:c r="C88" s="6" t="str">
        <x:v>Normal</x:v>
      </x:c>
      <x:c r="D88" s="6" t="str">
        <x:v>deck_04</x:v>
      </x:c>
      <x:c r="E88" s="7" t="n">
        <x:v>4</x:v>
      </x:c>
      <x:c r="F88" s="7" t="n">
        <x:v>4</x:v>
      </x:c>
      <x:c r="G88" s="7" t="n">
        <x:v>4</x:v>
      </x:c>
      <x:c r="H88" s="7" t="n">
        <x:v>3</x:v>
      </x:c>
      <x:c r="I88" s="7" t="n">
        <x:v>4</x:v>
      </x:c>
      <x:c r="J88" s="7" t="n">
        <x:v>4</x:v>
      </x:c>
      <x:c r="K88" s="7" t="n">
        <x:v>0</x:v>
      </x:c>
      <x:c r="L88" s="7" t="n">
        <x:v>1</x:v>
      </x:c>
      <x:c r="M88" s="7" t="n">
        <x:v>0</x:v>
      </x:c>
      <x:c r="N88" s="7" t="n">
        <x:v>0</x:v>
      </x:c>
      <x:c r="O88" s="7" t="n">
        <x:v>0</x:v>
      </x:c>
      <x:c r="P88" s="7" t="n">
        <x:v>1</x:v>
      </x:c>
      <x:c r="Q88" s="7" t="n">
        <x:v>6</x:v>
      </x:c>
      <x:c r="R88" s="6" t="str">
        <x:v>돌보미 + 덩치 / 에이스 크랙몬 / 성장 수단 확장 대비 상향안·실전 미검증</x:v>
      </x:c>
    </x:row>
    <x:row r="89" ht="15" hidden="0" customHeight="1">
      <x:c r="A89" s="7" t="n">
        <x:v>11405</x:v>
      </x:c>
      <x:c r="B89" s="7" t="n">
        <x:v>14</x:v>
      </x:c>
      <x:c r="C89" s="6" t="str">
        <x:v>Normal</x:v>
      </x:c>
      <x:c r="D89" s="6" t="str">
        <x:v>deck_05</x:v>
      </x:c>
      <x:c r="E89" s="7" t="n">
        <x:v>4</x:v>
      </x:c>
      <x:c r="F89" s="7" t="n">
        <x:v>4</x:v>
      </x:c>
      <x:c r="G89" s="7" t="n">
        <x:v>4</x:v>
      </x:c>
      <x:c r="H89" s="7" t="n">
        <x:v>3</x:v>
      </x:c>
      <x:c r="I89" s="7" t="n">
        <x:v>4</x:v>
      </x:c>
      <x:c r="J89" s="7" t="n">
        <x:v>4</x:v>
      </x:c>
      <x:c r="K89" s="7" t="n">
        <x:v>0</x:v>
      </x:c>
      <x:c r="L89" s="7" t="n">
        <x:v>0</x:v>
      </x:c>
      <x:c r="M89" s="7" t="n">
        <x:v>1</x:v>
      </x:c>
      <x:c r="N89" s="7" t="n">
        <x:v>0</x:v>
      </x:c>
      <x:c r="O89" s="7" t="n">
        <x:v>1</x:v>
      </x:c>
      <x:c r="P89" s="7" t="n">
        <x:v>0</x:v>
      </x:c>
      <x:c r="Q89" s="7" t="n">
        <x:v>3</x:v>
      </x:c>
      <x:c r="R89" s="6" t="str">
        <x:v>흐름 + 비늘 / 에이스 찌릿핀 / 성장 수단 확장 대비 상향안·실전 미검증</x:v>
      </x:c>
    </x:row>
    <x:row r="90" ht="15" hidden="0" customHeight="1">
      <x:c r="A90" s="7" t="n">
        <x:v>11406</x:v>
      </x:c>
      <x:c r="B90" s="7" t="n">
        <x:v>14</x:v>
      </x:c>
      <x:c r="C90" s="6" t="str">
        <x:v>Normal</x:v>
      </x:c>
      <x:c r="D90" s="6" t="str">
        <x:v>deck_06</x:v>
      </x:c>
      <x:c r="E90" s="7" t="n">
        <x:v>4</x:v>
      </x:c>
      <x:c r="F90" s="7" t="n">
        <x:v>4</x:v>
      </x:c>
      <x:c r="G90" s="7" t="n">
        <x:v>4</x:v>
      </x:c>
      <x:c r="H90" s="7" t="n">
        <x:v>3</x:v>
      </x:c>
      <x:c r="I90" s="7" t="n">
        <x:v>4</x:v>
      </x:c>
      <x:c r="J90" s="7" t="n">
        <x:v>4</x:v>
      </x:c>
      <x:c r="K90" s="7" t="n">
        <x:v>0</x:v>
      </x:c>
      <x:c r="L90" s="7" t="n">
        <x:v>0</x:v>
      </x:c>
      <x:c r="M90" s="7" t="n">
        <x:v>1</x:v>
      </x:c>
      <x:c r="N90" s="7" t="n">
        <x:v>0</x:v>
      </x:c>
      <x:c r="O90" s="7" t="n">
        <x:v>0</x:v>
      </x:c>
      <x:c r="P90" s="7" t="n">
        <x:v>1</x:v>
      </x:c>
      <x:c r="Q90" s="7" t="n">
        <x:v>3</x:v>
      </x:c>
      <x:c r="R90" s="6" t="str">
        <x:v>흐름 + 덩치 / 에이스 찌릿핀 / 성장 수단 확장 대비 상향안·실전 미검증</x:v>
      </x:c>
    </x:row>
    <x:row r="91" ht="15" hidden="0" customHeight="1">
      <x:c r="A91" s="7" t="n">
        <x:v>11407</x:v>
      </x:c>
      <x:c r="B91" s="7" t="n">
        <x:v>14</x:v>
      </x:c>
      <x:c r="C91" s="6" t="str">
        <x:v>Normal</x:v>
      </x:c>
      <x:c r="D91" s="6" t="str">
        <x:v>deck_07</x:v>
      </x:c>
      <x:c r="E91" s="7" t="n">
        <x:v>4</x:v>
      </x:c>
      <x:c r="F91" s="7" t="n">
        <x:v>4</x:v>
      </x:c>
      <x:c r="G91" s="7" t="n">
        <x:v>4</x:v>
      </x:c>
      <x:c r="H91" s="7" t="n">
        <x:v>4</x:v>
      </x:c>
      <x:c r="I91" s="7" t="n">
        <x:v>3</x:v>
      </x:c>
      <x:c r="J91" s="7" t="n">
        <x:v>4</x:v>
      </x:c>
      <x:c r="K91" s="7" t="n">
        <x:v>0</x:v>
      </x:c>
      <x:c r="L91" s="7" t="n">
        <x:v>1</x:v>
      </x:c>
      <x:c r="M91" s="7" t="n">
        <x:v>1</x:v>
      </x:c>
      <x:c r="N91" s="7" t="n">
        <x:v>0</x:v>
      </x:c>
      <x:c r="O91" s="7" t="n">
        <x:v>0</x:v>
      </x:c>
      <x:c r="P91" s="7" t="n">
        <x:v>0</x:v>
      </x:c>
      <x:c r="Q91" s="7" t="n">
        <x:v>3</x:v>
      </x:c>
      <x:c r="R91" s="6" t="str">
        <x:v>추적 + 덩치 / 에이스 꿈먹이 / 성장 수단 확장 대비 상향안·실전 미검증</x:v>
      </x:c>
    </x:row>
    <x:row r="92" ht="24" hidden="0" customHeight="1">
      <x:c r="A92" s="7" t="n">
        <x:v>11408</x:v>
      </x:c>
      <x:c r="B92" s="7" t="n">
        <x:v>14</x:v>
      </x:c>
      <x:c r="C92" s="6" t="str">
        <x:v>Normal</x:v>
      </x:c>
      <x:c r="D92" s="6" t="str">
        <x:v>deck_08</x:v>
      </x:c>
      <x:c r="E92" s="7" t="n">
        <x:v>4</x:v>
      </x:c>
      <x:c r="F92" s="7" t="n">
        <x:v>3</x:v>
      </x:c>
      <x:c r="G92" s="7" t="n">
        <x:v>4</x:v>
      </x:c>
      <x:c r="H92" s="7" t="n">
        <x:v>4</x:v>
      </x:c>
      <x:c r="I92" s="7" t="n">
        <x:v>4</x:v>
      </x:c>
      <x:c r="J92" s="7" t="n">
        <x:v>4</x:v>
      </x:c>
      <x:c r="K92" s="7" t="n">
        <x:v>0</x:v>
      </x:c>
      <x:c r="L92" s="7" t="n">
        <x:v>0</x:v>
      </x:c>
      <x:c r="M92" s="7" t="n">
        <x:v>0</x:v>
      </x:c>
      <x:c r="N92" s="7" t="n">
        <x:v>0</x:v>
      </x:c>
      <x:c r="O92" s="7" t="n">
        <x:v>1</x:v>
      </x:c>
      <x:c r="P92" s="7" t="n">
        <x:v>1</x:v>
      </x:c>
      <x:c r="Q92" s="7" t="n">
        <x:v>5</x:v>
      </x:c>
      <x:c r="R92" s="6" t="str">
        <x:v>유산 돌격대 / 에이스 대장부리 / 성장 수단 확장 대비 상향안·실전 미검증</x:v>
      </x:c>
    </x:row>
    <x:row r="93" ht="24" hidden="0" customHeight="1">
      <x:c r="A93" s="7" t="n">
        <x:v>11501</x:v>
      </x:c>
      <x:c r="B93" s="7" t="n">
        <x:v>15</x:v>
      </x:c>
      <x:c r="C93" s="6" t="str">
        <x:v>Normal</x:v>
      </x:c>
      <x:c r="D93" s="6" t="str">
        <x:v>deck_01</x:v>
      </x:c>
      <x:c r="E93" s="7" t="n">
        <x:v>4</x:v>
      </x:c>
      <x:c r="F93" s="7" t="n">
        <x:v>4</x:v>
      </x:c>
      <x:c r="G93" s="7" t="n">
        <x:v>4</x:v>
      </x:c>
      <x:c r="H93" s="7" t="n">
        <x:v>4</x:v>
      </x:c>
      <x:c r="I93" s="7" t="n">
        <x:v>4</x:v>
      </x:c>
      <x:c r="J93" s="7" t="n">
        <x:v>4</x:v>
      </x:c>
      <x:c r="K93" s="7" t="n">
        <x:v>0</x:v>
      </x:c>
      <x:c r="L93" s="7" t="n">
        <x:v>0</x:v>
      </x:c>
      <x:c r="M93" s="7" t="n">
        <x:v>2</x:v>
      </x:c>
      <x:c r="N93" s="7" t="n">
        <x:v>0</x:v>
      </x:c>
      <x:c r="O93" s="7" t="n">
        <x:v>0</x:v>
      </x:c>
      <x:c r="P93" s="7" t="n">
        <x:v>2</x:v>
      </x:c>
      <x:c r="Q93" s="7" t="n">
        <x:v>3</x:v>
      </x:c>
      <x:c r="R93" s="6" t="str">
        <x:v>낙인 + 포식자 / 에이스 얼음꼬미 / 성장 수단 확장 대비 상향안·실전 미검증</x:v>
      </x:c>
    </x:row>
    <x:row r="94" ht="24" hidden="0" customHeight="1">
      <x:c r="A94" s="7" t="n">
        <x:v>11502</x:v>
      </x:c>
      <x:c r="B94" s="7" t="n">
        <x:v>15</x:v>
      </x:c>
      <x:c r="C94" s="6" t="str">
        <x:v>Normal</x:v>
      </x:c>
      <x:c r="D94" s="6" t="str">
        <x:v>deck_02</x:v>
      </x:c>
      <x:c r="E94" s="7" t="n">
        <x:v>4</x:v>
      </x:c>
      <x:c r="F94" s="7" t="n">
        <x:v>4</x:v>
      </x:c>
      <x:c r="G94" s="7" t="n">
        <x:v>4</x:v>
      </x:c>
      <x:c r="H94" s="7" t="n">
        <x:v>4</x:v>
      </x:c>
      <x:c r="I94" s="7" t="n">
        <x:v>4</x:v>
      </x:c>
      <x:c r="J94" s="7" t="n">
        <x:v>4</x:v>
      </x:c>
      <x:c r="K94" s="7" t="n">
        <x:v>0</x:v>
      </x:c>
      <x:c r="L94" s="7" t="n">
        <x:v>0</x:v>
      </x:c>
      <x:c r="M94" s="7" t="n">
        <x:v>2</x:v>
      </x:c>
      <x:c r="N94" s="7" t="n">
        <x:v>0</x:v>
      </x:c>
      <x:c r="O94" s="7" t="n">
        <x:v>2</x:v>
      </x:c>
      <x:c r="P94" s="7" t="n">
        <x:v>0</x:v>
      </x:c>
      <x:c r="Q94" s="7" t="n">
        <x:v>3</x:v>
      </x:c>
      <x:c r="R94" s="6" t="str">
        <x:v>낙인 + 비늘 / 에이스 얼음꼬미 / 성장 수단 확장 대비 상향안·실전 미검증</x:v>
      </x:c>
    </x:row>
    <x:row r="95" ht="24" hidden="0" customHeight="1">
      <x:c r="A95" s="7" t="n">
        <x:v>11503</x:v>
      </x:c>
      <x:c r="B95" s="7" t="n">
        <x:v>15</x:v>
      </x:c>
      <x:c r="C95" s="6" t="str">
        <x:v>Normal</x:v>
      </x:c>
      <x:c r="D95" s="6" t="str">
        <x:v>deck_03</x:v>
      </x:c>
      <x:c r="E95" s="7" t="n">
        <x:v>4</x:v>
      </x:c>
      <x:c r="F95" s="7" t="n">
        <x:v>4</x:v>
      </x:c>
      <x:c r="G95" s="7" t="n">
        <x:v>4</x:v>
      </x:c>
      <x:c r="H95" s="7" t="n">
        <x:v>4</x:v>
      </x:c>
      <x:c r="I95" s="7" t="n">
        <x:v>4</x:v>
      </x:c>
      <x:c r="J95" s="7" t="n">
        <x:v>4</x:v>
      </x:c>
      <x:c r="K95" s="7" t="n">
        <x:v>0</x:v>
      </x:c>
      <x:c r="L95" s="7" t="n">
        <x:v>2</x:v>
      </x:c>
      <x:c r="M95" s="7" t="n">
        <x:v>0</x:v>
      </x:c>
      <x:c r="N95" s="7" t="n">
        <x:v>0</x:v>
      </x:c>
      <x:c r="O95" s="7" t="n">
        <x:v>0</x:v>
      </x:c>
      <x:c r="P95" s="7" t="n">
        <x:v>2</x:v>
      </x:c>
      <x:c r="Q95" s="7" t="n">
        <x:v>6</x:v>
      </x:c>
      <x:c r="R95" s="6" t="str">
        <x:v>돌보미 + 유산 / 에이스 대장부리 / 성장 수단 확장 대비 상향안·실전 미검증</x:v>
      </x:c>
    </x:row>
    <x:row r="96" ht="24" hidden="0" customHeight="1">
      <x:c r="A96" s="7" t="n">
        <x:v>11504</x:v>
      </x:c>
      <x:c r="B96" s="7" t="n">
        <x:v>15</x:v>
      </x:c>
      <x:c r="C96" s="6" t="str">
        <x:v>Normal</x:v>
      </x:c>
      <x:c r="D96" s="6" t="str">
        <x:v>deck_04</x:v>
      </x:c>
      <x:c r="E96" s="7" t="n">
        <x:v>4</x:v>
      </x:c>
      <x:c r="F96" s="7" t="n">
        <x:v>4</x:v>
      </x:c>
      <x:c r="G96" s="7" t="n">
        <x:v>4</x:v>
      </x:c>
      <x:c r="H96" s="7" t="n">
        <x:v>4</x:v>
      </x:c>
      <x:c r="I96" s="7" t="n">
        <x:v>4</x:v>
      </x:c>
      <x:c r="J96" s="7" t="n">
        <x:v>4</x:v>
      </x:c>
      <x:c r="K96" s="7" t="n">
        <x:v>0</x:v>
      </x:c>
      <x:c r="L96" s="7" t="n">
        <x:v>2</x:v>
      </x:c>
      <x:c r="M96" s="7" t="n">
        <x:v>0</x:v>
      </x:c>
      <x:c r="N96" s="7" t="n">
        <x:v>0</x:v>
      </x:c>
      <x:c r="O96" s="7" t="n">
        <x:v>0</x:v>
      </x:c>
      <x:c r="P96" s="7" t="n">
        <x:v>2</x:v>
      </x:c>
      <x:c r="Q96" s="7" t="n">
        <x:v>6</x:v>
      </x:c>
      <x:c r="R96" s="6" t="str">
        <x:v>돌보미 + 덩치 / 에이스 크랙몬 / 성장 수단 확장 대비 상향안·실전 미검증</x:v>
      </x:c>
    </x:row>
    <x:row r="97" ht="15" hidden="0" customHeight="1">
      <x:c r="A97" s="7" t="n">
        <x:v>11505</x:v>
      </x:c>
      <x:c r="B97" s="7" t="n">
        <x:v>15</x:v>
      </x:c>
      <x:c r="C97" s="6" t="str">
        <x:v>Normal</x:v>
      </x:c>
      <x:c r="D97" s="6" t="str">
        <x:v>deck_05</x:v>
      </x:c>
      <x:c r="E97" s="7" t="n">
        <x:v>4</x:v>
      </x:c>
      <x:c r="F97" s="7" t="n">
        <x:v>4</x:v>
      </x:c>
      <x:c r="G97" s="7" t="n">
        <x:v>4</x:v>
      </x:c>
      <x:c r="H97" s="7" t="n">
        <x:v>4</x:v>
      </x:c>
      <x:c r="I97" s="7" t="n">
        <x:v>4</x:v>
      </x:c>
      <x:c r="J97" s="7" t="n">
        <x:v>4</x:v>
      </x:c>
      <x:c r="K97" s="7" t="n">
        <x:v>0</x:v>
      </x:c>
      <x:c r="L97" s="7" t="n">
        <x:v>0</x:v>
      </x:c>
      <x:c r="M97" s="7" t="n">
        <x:v>2</x:v>
      </x:c>
      <x:c r="N97" s="7" t="n">
        <x:v>0</x:v>
      </x:c>
      <x:c r="O97" s="7" t="n">
        <x:v>2</x:v>
      </x:c>
      <x:c r="P97" s="7" t="n">
        <x:v>0</x:v>
      </x:c>
      <x:c r="Q97" s="7" t="n">
        <x:v>3</x:v>
      </x:c>
      <x:c r="R97" s="6" t="str">
        <x:v>흐름 + 비늘 / 에이스 찌릿핀 / 성장 수단 확장 대비 상향안·실전 미검증</x:v>
      </x:c>
    </x:row>
    <x:row r="98" ht="15" hidden="0" customHeight="1">
      <x:c r="A98" s="7" t="n">
        <x:v>11506</x:v>
      </x:c>
      <x:c r="B98" s="7" t="n">
        <x:v>15</x:v>
      </x:c>
      <x:c r="C98" s="6" t="str">
        <x:v>Normal</x:v>
      </x:c>
      <x:c r="D98" s="6" t="str">
        <x:v>deck_06</x:v>
      </x:c>
      <x:c r="E98" s="7" t="n">
        <x:v>4</x:v>
      </x:c>
      <x:c r="F98" s="7" t="n">
        <x:v>4</x:v>
      </x:c>
      <x:c r="G98" s="7" t="n">
        <x:v>4</x:v>
      </x:c>
      <x:c r="H98" s="7" t="n">
        <x:v>4</x:v>
      </x:c>
      <x:c r="I98" s="7" t="n">
        <x:v>4</x:v>
      </x:c>
      <x:c r="J98" s="7" t="n">
        <x:v>4</x:v>
      </x:c>
      <x:c r="K98" s="7" t="n">
        <x:v>0</x:v>
      </x:c>
      <x:c r="L98" s="7" t="n">
        <x:v>0</x:v>
      </x:c>
      <x:c r="M98" s="7" t="n">
        <x:v>2</x:v>
      </x:c>
      <x:c r="N98" s="7" t="n">
        <x:v>0</x:v>
      </x:c>
      <x:c r="O98" s="7" t="n">
        <x:v>0</x:v>
      </x:c>
      <x:c r="P98" s="7" t="n">
        <x:v>2</x:v>
      </x:c>
      <x:c r="Q98" s="7" t="n">
        <x:v>3</x:v>
      </x:c>
      <x:c r="R98" s="6" t="str">
        <x:v>흐름 + 덩치 / 에이스 찌릿핀 / 성장 수단 확장 대비 상향안·실전 미검증</x:v>
      </x:c>
    </x:row>
    <x:row r="99" ht="15" hidden="0" customHeight="1">
      <x:c r="A99" s="7" t="n">
        <x:v>11507</x:v>
      </x:c>
      <x:c r="B99" s="7" t="n">
        <x:v>15</x:v>
      </x:c>
      <x:c r="C99" s="6" t="str">
        <x:v>Normal</x:v>
      </x:c>
      <x:c r="D99" s="6" t="str">
        <x:v>deck_07</x:v>
      </x:c>
      <x:c r="E99" s="7" t="n">
        <x:v>4</x:v>
      </x:c>
      <x:c r="F99" s="7" t="n">
        <x:v>4</x:v>
      </x:c>
      <x:c r="G99" s="7" t="n">
        <x:v>4</x:v>
      </x:c>
      <x:c r="H99" s="7" t="n">
        <x:v>4</x:v>
      </x:c>
      <x:c r="I99" s="7" t="n">
        <x:v>4</x:v>
      </x:c>
      <x:c r="J99" s="7" t="n">
        <x:v>4</x:v>
      </x:c>
      <x:c r="K99" s="7" t="n">
        <x:v>0</x:v>
      </x:c>
      <x:c r="L99" s="7" t="n">
        <x:v>2</x:v>
      </x:c>
      <x:c r="M99" s="7" t="n">
        <x:v>2</x:v>
      </x:c>
      <x:c r="N99" s="7" t="n">
        <x:v>0</x:v>
      </x:c>
      <x:c r="O99" s="7" t="n">
        <x:v>0</x:v>
      </x:c>
      <x:c r="P99" s="7" t="n">
        <x:v>0</x:v>
      </x:c>
      <x:c r="Q99" s="7" t="n">
        <x:v>3</x:v>
      </x:c>
      <x:c r="R99" s="6" t="str">
        <x:v>추적 + 덩치 / 에이스 꿈먹이 / 성장 수단 확장 대비 상향안·실전 미검증</x:v>
      </x:c>
    </x:row>
    <x:row r="100" ht="24" hidden="0" customHeight="1">
      <x:c r="A100" s="7" t="n">
        <x:v>11508</x:v>
      </x:c>
      <x:c r="B100" s="7" t="n">
        <x:v>15</x:v>
      </x:c>
      <x:c r="C100" s="6" t="str">
        <x:v>Normal</x:v>
      </x:c>
      <x:c r="D100" s="6" t="str">
        <x:v>deck_08</x:v>
      </x:c>
      <x:c r="E100" s="7" t="n">
        <x:v>4</x:v>
      </x:c>
      <x:c r="F100" s="7" t="n">
        <x:v>4</x:v>
      </x:c>
      <x:c r="G100" s="7" t="n">
        <x:v>4</x:v>
      </x:c>
      <x:c r="H100" s="7" t="n">
        <x:v>4</x:v>
      </x:c>
      <x:c r="I100" s="7" t="n">
        <x:v>4</x:v>
      </x:c>
      <x:c r="J100" s="7" t="n">
        <x:v>4</x:v>
      </x:c>
      <x:c r="K100" s="7" t="n">
        <x:v>0</x:v>
      </x:c>
      <x:c r="L100" s="7" t="n">
        <x:v>0</x:v>
      </x:c>
      <x:c r="M100" s="7" t="n">
        <x:v>0</x:v>
      </x:c>
      <x:c r="N100" s="7" t="n">
        <x:v>0</x:v>
      </x:c>
      <x:c r="O100" s="7" t="n">
        <x:v>2</x:v>
      </x:c>
      <x:c r="P100" s="7" t="n">
        <x:v>2</x:v>
      </x:c>
      <x:c r="Q100" s="7" t="n">
        <x:v>5</x:v>
      </x:c>
      <x:c r="R100" s="6" t="str">
        <x:v>유산 돌격대 / 에이스 대장부리 / 성장 수단 확장 대비 상향안·실전 미검증</x:v>
      </x:c>
    </x:row>
    <x:row r="101" ht="24" hidden="0" customHeight="1">
      <x:c r="A101" s="7" t="n">
        <x:v>11601</x:v>
      </x:c>
      <x:c r="B101" s="7" t="n">
        <x:v>16</x:v>
      </x:c>
      <x:c r="C101" s="6" t="str">
        <x:v>Normal</x:v>
      </x:c>
      <x:c r="D101" s="6" t="str">
        <x:v>deck_01</x:v>
      </x:c>
      <x:c r="E101" s="7" t="n">
        <x:v>4</x:v>
      </x:c>
      <x:c r="F101" s="7" t="n">
        <x:v>4</x:v>
      </x:c>
      <x:c r="G101" s="7" t="n">
        <x:v>4</x:v>
      </x:c>
      <x:c r="H101" s="7" t="n">
        <x:v>4</x:v>
      </x:c>
      <x:c r="I101" s="7" t="n">
        <x:v>4</x:v>
      </x:c>
      <x:c r="J101" s="7" t="n">
        <x:v>4</x:v>
      </x:c>
      <x:c r="K101" s="7" t="n">
        <x:v>2</x:v>
      </x:c>
      <x:c r="L101" s="7" t="n">
        <x:v>0</x:v>
      </x:c>
      <x:c r="M101" s="7" t="n">
        <x:v>2</x:v>
      </x:c>
      <x:c r="N101" s="7" t="n">
        <x:v>0</x:v>
      </x:c>
      <x:c r="O101" s="7" t="n">
        <x:v>0</x:v>
      </x:c>
      <x:c r="P101" s="7" t="n">
        <x:v>2</x:v>
      </x:c>
      <x:c r="Q101" s="7" t="n">
        <x:v>3</x:v>
      </x:c>
      <x:c r="R101" s="6" t="str">
        <x:v>낙인 + 포식자 / 에이스 얼음꼬미 / 성장 수단 확장 대비 상향안·실전 미검증</x:v>
      </x:c>
    </x:row>
    <x:row r="102" ht="24" hidden="0" customHeight="1">
      <x:c r="A102" s="7" t="n">
        <x:v>11602</x:v>
      </x:c>
      <x:c r="B102" s="7" t="n">
        <x:v>16</x:v>
      </x:c>
      <x:c r="C102" s="6" t="str">
        <x:v>Normal</x:v>
      </x:c>
      <x:c r="D102" s="6" t="str">
        <x:v>deck_02</x:v>
      </x:c>
      <x:c r="E102" s="7" t="n">
        <x:v>4</x:v>
      </x:c>
      <x:c r="F102" s="7" t="n">
        <x:v>4</x:v>
      </x:c>
      <x:c r="G102" s="7" t="n">
        <x:v>4</x:v>
      </x:c>
      <x:c r="H102" s="7" t="n">
        <x:v>4</x:v>
      </x:c>
      <x:c r="I102" s="7" t="n">
        <x:v>4</x:v>
      </x:c>
      <x:c r="J102" s="7" t="n">
        <x:v>4</x:v>
      </x:c>
      <x:c r="K102" s="7" t="n">
        <x:v>2</x:v>
      </x:c>
      <x:c r="L102" s="7" t="n">
        <x:v>0</x:v>
      </x:c>
      <x:c r="M102" s="7" t="n">
        <x:v>2</x:v>
      </x:c>
      <x:c r="N102" s="7" t="n">
        <x:v>0</x:v>
      </x:c>
      <x:c r="O102" s="7" t="n">
        <x:v>2</x:v>
      </x:c>
      <x:c r="P102" s="7" t="n">
        <x:v>0</x:v>
      </x:c>
      <x:c r="Q102" s="7" t="n">
        <x:v>3</x:v>
      </x:c>
      <x:c r="R102" s="6" t="str">
        <x:v>낙인 + 비늘 / 에이스 얼음꼬미 / 성장 수단 확장 대비 상향안·실전 미검증</x:v>
      </x:c>
    </x:row>
    <x:row r="103" ht="24" hidden="0" customHeight="1">
      <x:c r="A103" s="7" t="n">
        <x:v>11603</x:v>
      </x:c>
      <x:c r="B103" s="7" t="n">
        <x:v>16</x:v>
      </x:c>
      <x:c r="C103" s="6" t="str">
        <x:v>Normal</x:v>
      </x:c>
      <x:c r="D103" s="6" t="str">
        <x:v>deck_03</x:v>
      </x:c>
      <x:c r="E103" s="7" t="n">
        <x:v>4</x:v>
      </x:c>
      <x:c r="F103" s="7" t="n">
        <x:v>4</x:v>
      </x:c>
      <x:c r="G103" s="7" t="n">
        <x:v>4</x:v>
      </x:c>
      <x:c r="H103" s="7" t="n">
        <x:v>4</x:v>
      </x:c>
      <x:c r="I103" s="7" t="n">
        <x:v>4</x:v>
      </x:c>
      <x:c r="J103" s="7" t="n">
        <x:v>4</x:v>
      </x:c>
      <x:c r="K103" s="7" t="n">
        <x:v>2</x:v>
      </x:c>
      <x:c r="L103" s="7" t="n">
        <x:v>2</x:v>
      </x:c>
      <x:c r="M103" s="7" t="n">
        <x:v>0</x:v>
      </x:c>
      <x:c r="N103" s="7" t="n">
        <x:v>0</x:v>
      </x:c>
      <x:c r="O103" s="7" t="n">
        <x:v>0</x:v>
      </x:c>
      <x:c r="P103" s="7" t="n">
        <x:v>2</x:v>
      </x:c>
      <x:c r="Q103" s="7" t="n">
        <x:v>6</x:v>
      </x:c>
      <x:c r="R103" s="6" t="str">
        <x:v>돌보미 + 유산 / 에이스 대장부리 / 성장 수단 확장 대비 상향안·실전 미검증</x:v>
      </x:c>
    </x:row>
    <x:row r="104" ht="24" hidden="0" customHeight="1">
      <x:c r="A104" s="7" t="n">
        <x:v>11604</x:v>
      </x:c>
      <x:c r="B104" s="7" t="n">
        <x:v>16</x:v>
      </x:c>
      <x:c r="C104" s="6" t="str">
        <x:v>Normal</x:v>
      </x:c>
      <x:c r="D104" s="6" t="str">
        <x:v>deck_04</x:v>
      </x:c>
      <x:c r="E104" s="7" t="n">
        <x:v>4</x:v>
      </x:c>
      <x:c r="F104" s="7" t="n">
        <x:v>4</x:v>
      </x:c>
      <x:c r="G104" s="7" t="n">
        <x:v>4</x:v>
      </x:c>
      <x:c r="H104" s="7" t="n">
        <x:v>4</x:v>
      </x:c>
      <x:c r="I104" s="7" t="n">
        <x:v>4</x:v>
      </x:c>
      <x:c r="J104" s="7" t="n">
        <x:v>4</x:v>
      </x:c>
      <x:c r="K104" s="7" t="n">
        <x:v>2</x:v>
      </x:c>
      <x:c r="L104" s="7" t="n">
        <x:v>2</x:v>
      </x:c>
      <x:c r="M104" s="7" t="n">
        <x:v>0</x:v>
      </x:c>
      <x:c r="N104" s="7" t="n">
        <x:v>0</x:v>
      </x:c>
      <x:c r="O104" s="7" t="n">
        <x:v>0</x:v>
      </x:c>
      <x:c r="P104" s="7" t="n">
        <x:v>2</x:v>
      </x:c>
      <x:c r="Q104" s="7" t="n">
        <x:v>6</x:v>
      </x:c>
      <x:c r="R104" s="6" t="str">
        <x:v>돌보미 + 덩치 / 에이스 크랙몬 / 성장 수단 확장 대비 상향안·실전 미검증</x:v>
      </x:c>
    </x:row>
    <x:row r="105" ht="15" hidden="0" customHeight="1">
      <x:c r="A105" s="7" t="n">
        <x:v>11605</x:v>
      </x:c>
      <x:c r="B105" s="7" t="n">
        <x:v>16</x:v>
      </x:c>
      <x:c r="C105" s="6" t="str">
        <x:v>Normal</x:v>
      </x:c>
      <x:c r="D105" s="6" t="str">
        <x:v>deck_05</x:v>
      </x:c>
      <x:c r="E105" s="7" t="n">
        <x:v>4</x:v>
      </x:c>
      <x:c r="F105" s="7" t="n">
        <x:v>4</x:v>
      </x:c>
      <x:c r="G105" s="7" t="n">
        <x:v>4</x:v>
      </x:c>
      <x:c r="H105" s="7" t="n">
        <x:v>4</x:v>
      </x:c>
      <x:c r="I105" s="7" t="n">
        <x:v>4</x:v>
      </x:c>
      <x:c r="J105" s="7" t="n">
        <x:v>4</x:v>
      </x:c>
      <x:c r="K105" s="7" t="n">
        <x:v>2</x:v>
      </x:c>
      <x:c r="L105" s="7" t="n">
        <x:v>0</x:v>
      </x:c>
      <x:c r="M105" s="7" t="n">
        <x:v>2</x:v>
      </x:c>
      <x:c r="N105" s="7" t="n">
        <x:v>0</x:v>
      </x:c>
      <x:c r="O105" s="7" t="n">
        <x:v>2</x:v>
      </x:c>
      <x:c r="P105" s="7" t="n">
        <x:v>0</x:v>
      </x:c>
      <x:c r="Q105" s="7" t="n">
        <x:v>3</x:v>
      </x:c>
      <x:c r="R105" s="6" t="str">
        <x:v>흐름 + 비늘 / 에이스 찌릿핀 / 성장 수단 확장 대비 상향안·실전 미검증</x:v>
      </x:c>
    </x:row>
    <x:row r="106" ht="15" hidden="0" customHeight="1">
      <x:c r="A106" s="7" t="n">
        <x:v>11606</x:v>
      </x:c>
      <x:c r="B106" s="7" t="n">
        <x:v>16</x:v>
      </x:c>
      <x:c r="C106" s="6" t="str">
        <x:v>Normal</x:v>
      </x:c>
      <x:c r="D106" s="6" t="str">
        <x:v>deck_06</x:v>
      </x:c>
      <x:c r="E106" s="7" t="n">
        <x:v>4</x:v>
      </x:c>
      <x:c r="F106" s="7" t="n">
        <x:v>4</x:v>
      </x:c>
      <x:c r="G106" s="7" t="n">
        <x:v>4</x:v>
      </x:c>
      <x:c r="H106" s="7" t="n">
        <x:v>4</x:v>
      </x:c>
      <x:c r="I106" s="7" t="n">
        <x:v>4</x:v>
      </x:c>
      <x:c r="J106" s="7" t="n">
        <x:v>4</x:v>
      </x:c>
      <x:c r="K106" s="7" t="n">
        <x:v>2</x:v>
      </x:c>
      <x:c r="L106" s="7" t="n">
        <x:v>0</x:v>
      </x:c>
      <x:c r="M106" s="7" t="n">
        <x:v>2</x:v>
      </x:c>
      <x:c r="N106" s="7" t="n">
        <x:v>0</x:v>
      </x:c>
      <x:c r="O106" s="7" t="n">
        <x:v>0</x:v>
      </x:c>
      <x:c r="P106" s="7" t="n">
        <x:v>2</x:v>
      </x:c>
      <x:c r="Q106" s="7" t="n">
        <x:v>3</x:v>
      </x:c>
      <x:c r="R106" s="6" t="str">
        <x:v>흐름 + 덩치 / 에이스 찌릿핀 / 성장 수단 확장 대비 상향안·실전 미검증</x:v>
      </x:c>
    </x:row>
    <x:row r="107" ht="15" hidden="0" customHeight="1">
      <x:c r="A107" s="7" t="n">
        <x:v>11607</x:v>
      </x:c>
      <x:c r="B107" s="7" t="n">
        <x:v>16</x:v>
      </x:c>
      <x:c r="C107" s="6" t="str">
        <x:v>Normal</x:v>
      </x:c>
      <x:c r="D107" s="6" t="str">
        <x:v>deck_07</x:v>
      </x:c>
      <x:c r="E107" s="7" t="n">
        <x:v>4</x:v>
      </x:c>
      <x:c r="F107" s="7" t="n">
        <x:v>4</x:v>
      </x:c>
      <x:c r="G107" s="7" t="n">
        <x:v>4</x:v>
      </x:c>
      <x:c r="H107" s="7" t="n">
        <x:v>4</x:v>
      </x:c>
      <x:c r="I107" s="7" t="n">
        <x:v>4</x:v>
      </x:c>
      <x:c r="J107" s="7" t="n">
        <x:v>4</x:v>
      </x:c>
      <x:c r="K107" s="7" t="n">
        <x:v>0</x:v>
      </x:c>
      <x:c r="L107" s="7" t="n">
        <x:v>2</x:v>
      </x:c>
      <x:c r="M107" s="7" t="n">
        <x:v>2</x:v>
      </x:c>
      <x:c r="N107" s="7" t="n">
        <x:v>2</x:v>
      </x:c>
      <x:c r="O107" s="7" t="n">
        <x:v>0</x:v>
      </x:c>
      <x:c r="P107" s="7" t="n">
        <x:v>0</x:v>
      </x:c>
      <x:c r="Q107" s="7" t="n">
        <x:v>3</x:v>
      </x:c>
      <x:c r="R107" s="6" t="str">
        <x:v>추적 + 덩치 / 에이스 꿈먹이 / 성장 수단 확장 대비 상향안·실전 미검증</x:v>
      </x:c>
    </x:row>
    <x:row r="108" ht="24" hidden="0" customHeight="1">
      <x:c r="A108" s="7" t="n">
        <x:v>11608</x:v>
      </x:c>
      <x:c r="B108" s="7" t="n">
        <x:v>16</x:v>
      </x:c>
      <x:c r="C108" s="6" t="str">
        <x:v>Normal</x:v>
      </x:c>
      <x:c r="D108" s="6" t="str">
        <x:v>deck_08</x:v>
      </x:c>
      <x:c r="E108" s="7" t="n">
        <x:v>4</x:v>
      </x:c>
      <x:c r="F108" s="7" t="n">
        <x:v>4</x:v>
      </x:c>
      <x:c r="G108" s="7" t="n">
        <x:v>4</x:v>
      </x:c>
      <x:c r="H108" s="7" t="n">
        <x:v>4</x:v>
      </x:c>
      <x:c r="I108" s="7" t="n">
        <x:v>4</x:v>
      </x:c>
      <x:c r="J108" s="7" t="n">
        <x:v>4</x:v>
      </x:c>
      <x:c r="K108" s="7" t="n">
        <x:v>2</x:v>
      </x:c>
      <x:c r="L108" s="7" t="n">
        <x:v>0</x:v>
      </x:c>
      <x:c r="M108" s="7" t="n">
        <x:v>0</x:v>
      </x:c>
      <x:c r="N108" s="7" t="n">
        <x:v>0</x:v>
      </x:c>
      <x:c r="O108" s="7" t="n">
        <x:v>2</x:v>
      </x:c>
      <x:c r="P108" s="7" t="n">
        <x:v>2</x:v>
      </x:c>
      <x:c r="Q108" s="7" t="n">
        <x:v>5</x:v>
      </x:c>
      <x:c r="R108" s="6" t="str">
        <x:v>유산 돌격대 / 에이스 대장부리 / 성장 수단 확장 대비 상향안·실전 미검증</x:v>
      </x:c>
    </x:row>
    <x:row r="109" ht="24" hidden="0" customHeight="1">
      <x:c r="A109" s="7" t="n">
        <x:v>11609</x:v>
      </x:c>
      <x:c r="B109" s="7" t="n">
        <x:v>16</x:v>
      </x:c>
      <x:c r="C109" s="6" t="str">
        <x:v>Normal</x:v>
      </x:c>
      <x:c r="D109" s="6" t="str">
        <x:v>deck_09</x:v>
      </x:c>
      <x:c r="E109" s="7" t="n">
        <x:v>4</x:v>
      </x:c>
      <x:c r="F109" s="7" t="n">
        <x:v>4</x:v>
      </x:c>
      <x:c r="G109" s="7" t="n">
        <x:v>4</x:v>
      </x:c>
      <x:c r="H109" s="7" t="n">
        <x:v>4</x:v>
      </x:c>
      <x:c r="I109" s="7" t="n">
        <x:v>4</x:v>
      </x:c>
      <x:c r="J109" s="7" t="n">
        <x:v>4</x:v>
      </x:c>
      <x:c r="K109" s="7" t="n">
        <x:v>0</x:v>
      </x:c>
      <x:c r="L109" s="7" t="n">
        <x:v>0</x:v>
      </x:c>
      <x:c r="M109" s="7" t="n">
        <x:v>2</x:v>
      </x:c>
      <x:c r="N109" s="7" t="n">
        <x:v>2</x:v>
      </x:c>
      <x:c r="O109" s="7" t="n">
        <x:v>0</x:v>
      </x:c>
      <x:c r="P109" s="7" t="n">
        <x:v>2</x:v>
      </x:c>
      <x:c r="Q109" s="7" t="n">
        <x:v>6</x:v>
      </x:c>
      <x:c r="R109" s="6" t="str">
        <x:v>비늘·덩치·포식자 / 에이스 해롱문어 / 성장 수단 확장 대비 상향안·실전 미검증</x:v>
      </x:c>
    </x:row>
    <x:row r="110" ht="24" hidden="0" customHeight="1">
      <x:c r="A110" s="7" t="n">
        <x:v>11701</x:v>
      </x:c>
      <x:c r="B110" s="7" t="n">
        <x:v>17</x:v>
      </x:c>
      <x:c r="C110" s="6" t="str">
        <x:v>Normal</x:v>
      </x:c>
      <x:c r="D110" s="6" t="str">
        <x:v>deck_01</x:v>
      </x:c>
      <x:c r="E110" s="7" t="n">
        <x:v>4</x:v>
      </x:c>
      <x:c r="F110" s="7" t="n">
        <x:v>4</x:v>
      </x:c>
      <x:c r="G110" s="7" t="n">
        <x:v>4</x:v>
      </x:c>
      <x:c r="H110" s="7" t="n">
        <x:v>4</x:v>
      </x:c>
      <x:c r="I110" s="7" t="n">
        <x:v>4</x:v>
      </x:c>
      <x:c r="J110" s="7" t="n">
        <x:v>4</x:v>
      </x:c>
      <x:c r="K110" s="7" t="n">
        <x:v>3</x:v>
      </x:c>
      <x:c r="L110" s="7" t="n">
        <x:v>1</x:v>
      </x:c>
      <x:c r="M110" s="7" t="n">
        <x:v>3</x:v>
      </x:c>
      <x:c r="N110" s="7" t="n">
        <x:v>1</x:v>
      </x:c>
      <x:c r="O110" s="7" t="n">
        <x:v>1</x:v>
      </x:c>
      <x:c r="P110" s="7" t="n">
        <x:v>3</x:v>
      </x:c>
      <x:c r="Q110" s="7" t="n">
        <x:v>3</x:v>
      </x:c>
      <x:c r="R110" s="6" t="str">
        <x:v>낙인 + 포식자 / 에이스 얼음꼬미 / 성장 수단 확장 대비 상향안·실전 미검증</x:v>
      </x:c>
    </x:row>
    <x:row r="111" ht="24" hidden="0" customHeight="1">
      <x:c r="A111" s="7" t="n">
        <x:v>11702</x:v>
      </x:c>
      <x:c r="B111" s="7" t="n">
        <x:v>17</x:v>
      </x:c>
      <x:c r="C111" s="6" t="str">
        <x:v>Normal</x:v>
      </x:c>
      <x:c r="D111" s="6" t="str">
        <x:v>deck_02</x:v>
      </x:c>
      <x:c r="E111" s="7" t="n">
        <x:v>4</x:v>
      </x:c>
      <x:c r="F111" s="7" t="n">
        <x:v>4</x:v>
      </x:c>
      <x:c r="G111" s="7" t="n">
        <x:v>4</x:v>
      </x:c>
      <x:c r="H111" s="7" t="n">
        <x:v>4</x:v>
      </x:c>
      <x:c r="I111" s="7" t="n">
        <x:v>4</x:v>
      </x:c>
      <x:c r="J111" s="7" t="n">
        <x:v>4</x:v>
      </x:c>
      <x:c r="K111" s="7" t="n">
        <x:v>3</x:v>
      </x:c>
      <x:c r="L111" s="7" t="n">
        <x:v>1</x:v>
      </x:c>
      <x:c r="M111" s="7" t="n">
        <x:v>3</x:v>
      </x:c>
      <x:c r="N111" s="7" t="n">
        <x:v>1</x:v>
      </x:c>
      <x:c r="O111" s="7" t="n">
        <x:v>3</x:v>
      </x:c>
      <x:c r="P111" s="7" t="n">
        <x:v>1</x:v>
      </x:c>
      <x:c r="Q111" s="7" t="n">
        <x:v>3</x:v>
      </x:c>
      <x:c r="R111" s="6" t="str">
        <x:v>낙인 + 비늘 / 에이스 얼음꼬미 / 성장 수단 확장 대비 상향안·실전 미검증</x:v>
      </x:c>
    </x:row>
    <x:row r="112" ht="24" hidden="0" customHeight="1">
      <x:c r="A112" s="7" t="n">
        <x:v>11703</x:v>
      </x:c>
      <x:c r="B112" s="7" t="n">
        <x:v>17</x:v>
      </x:c>
      <x:c r="C112" s="6" t="str">
        <x:v>Normal</x:v>
      </x:c>
      <x:c r="D112" s="6" t="str">
        <x:v>deck_03</x:v>
      </x:c>
      <x:c r="E112" s="7" t="n">
        <x:v>4</x:v>
      </x:c>
      <x:c r="F112" s="7" t="n">
        <x:v>4</x:v>
      </x:c>
      <x:c r="G112" s="7" t="n">
        <x:v>4</x:v>
      </x:c>
      <x:c r="H112" s="7" t="n">
        <x:v>4</x:v>
      </x:c>
      <x:c r="I112" s="7" t="n">
        <x:v>4</x:v>
      </x:c>
      <x:c r="J112" s="7" t="n">
        <x:v>4</x:v>
      </x:c>
      <x:c r="K112" s="7" t="n">
        <x:v>3</x:v>
      </x:c>
      <x:c r="L112" s="7" t="n">
        <x:v>3</x:v>
      </x:c>
      <x:c r="M112" s="7" t="n">
        <x:v>1</x:v>
      </x:c>
      <x:c r="N112" s="7" t="n">
        <x:v>1</x:v>
      </x:c>
      <x:c r="O112" s="7" t="n">
        <x:v>1</x:v>
      </x:c>
      <x:c r="P112" s="7" t="n">
        <x:v>3</x:v>
      </x:c>
      <x:c r="Q112" s="7" t="n">
        <x:v>6</x:v>
      </x:c>
      <x:c r="R112" s="6" t="str">
        <x:v>돌보미 + 유산 / 에이스 대장부리 / 성장 수단 확장 대비 상향안·실전 미검증</x:v>
      </x:c>
    </x:row>
    <x:row r="113" ht="24" hidden="0" customHeight="1">
      <x:c r="A113" s="7" t="n">
        <x:v>11704</x:v>
      </x:c>
      <x:c r="B113" s="7" t="n">
        <x:v>17</x:v>
      </x:c>
      <x:c r="C113" s="6" t="str">
        <x:v>Normal</x:v>
      </x:c>
      <x:c r="D113" s="6" t="str">
        <x:v>deck_04</x:v>
      </x:c>
      <x:c r="E113" s="7" t="n">
        <x:v>4</x:v>
      </x:c>
      <x:c r="F113" s="7" t="n">
        <x:v>4</x:v>
      </x:c>
      <x:c r="G113" s="7" t="n">
        <x:v>4</x:v>
      </x:c>
      <x:c r="H113" s="7" t="n">
        <x:v>4</x:v>
      </x:c>
      <x:c r="I113" s="7" t="n">
        <x:v>4</x:v>
      </x:c>
      <x:c r="J113" s="7" t="n">
        <x:v>4</x:v>
      </x:c>
      <x:c r="K113" s="7" t="n">
        <x:v>3</x:v>
      </x:c>
      <x:c r="L113" s="7" t="n">
        <x:v>3</x:v>
      </x:c>
      <x:c r="M113" s="7" t="n">
        <x:v>1</x:v>
      </x:c>
      <x:c r="N113" s="7" t="n">
        <x:v>1</x:v>
      </x:c>
      <x:c r="O113" s="7" t="n">
        <x:v>1</x:v>
      </x:c>
      <x:c r="P113" s="7" t="n">
        <x:v>3</x:v>
      </x:c>
      <x:c r="Q113" s="7" t="n">
        <x:v>6</x:v>
      </x:c>
      <x:c r="R113" s="6" t="str">
        <x:v>돌보미 + 덩치 / 에이스 크랙몬 / 성장 수단 확장 대비 상향안·실전 미검증</x:v>
      </x:c>
    </x:row>
    <x:row r="114" ht="15" hidden="0" customHeight="1">
      <x:c r="A114" s="7" t="n">
        <x:v>11705</x:v>
      </x:c>
      <x:c r="B114" s="7" t="n">
        <x:v>17</x:v>
      </x:c>
      <x:c r="C114" s="6" t="str">
        <x:v>Normal</x:v>
      </x:c>
      <x:c r="D114" s="6" t="str">
        <x:v>deck_05</x:v>
      </x:c>
      <x:c r="E114" s="7" t="n">
        <x:v>4</x:v>
      </x:c>
      <x:c r="F114" s="7" t="n">
        <x:v>4</x:v>
      </x:c>
      <x:c r="G114" s="7" t="n">
        <x:v>4</x:v>
      </x:c>
      <x:c r="H114" s="7" t="n">
        <x:v>4</x:v>
      </x:c>
      <x:c r="I114" s="7" t="n">
        <x:v>4</x:v>
      </x:c>
      <x:c r="J114" s="7" t="n">
        <x:v>4</x:v>
      </x:c>
      <x:c r="K114" s="7" t="n">
        <x:v>3</x:v>
      </x:c>
      <x:c r="L114" s="7" t="n">
        <x:v>1</x:v>
      </x:c>
      <x:c r="M114" s="7" t="n">
        <x:v>3</x:v>
      </x:c>
      <x:c r="N114" s="7" t="n">
        <x:v>1</x:v>
      </x:c>
      <x:c r="O114" s="7" t="n">
        <x:v>3</x:v>
      </x:c>
      <x:c r="P114" s="7" t="n">
        <x:v>1</x:v>
      </x:c>
      <x:c r="Q114" s="7" t="n">
        <x:v>3</x:v>
      </x:c>
      <x:c r="R114" s="6" t="str">
        <x:v>흐름 + 비늘 / 에이스 찌릿핀 / 성장 수단 확장 대비 상향안·실전 미검증</x:v>
      </x:c>
    </x:row>
    <x:row r="115" ht="15" hidden="0" customHeight="1">
      <x:c r="A115" s="7" t="n">
        <x:v>11706</x:v>
      </x:c>
      <x:c r="B115" s="7" t="n">
        <x:v>17</x:v>
      </x:c>
      <x:c r="C115" s="6" t="str">
        <x:v>Normal</x:v>
      </x:c>
      <x:c r="D115" s="6" t="str">
        <x:v>deck_06</x:v>
      </x:c>
      <x:c r="E115" s="7" t="n">
        <x:v>4</x:v>
      </x:c>
      <x:c r="F115" s="7" t="n">
        <x:v>4</x:v>
      </x:c>
      <x:c r="G115" s="7" t="n">
        <x:v>4</x:v>
      </x:c>
      <x:c r="H115" s="7" t="n">
        <x:v>4</x:v>
      </x:c>
      <x:c r="I115" s="7" t="n">
        <x:v>4</x:v>
      </x:c>
      <x:c r="J115" s="7" t="n">
        <x:v>4</x:v>
      </x:c>
      <x:c r="K115" s="7" t="n">
        <x:v>3</x:v>
      </x:c>
      <x:c r="L115" s="7" t="n">
        <x:v>1</x:v>
      </x:c>
      <x:c r="M115" s="7" t="n">
        <x:v>3</x:v>
      </x:c>
      <x:c r="N115" s="7" t="n">
        <x:v>1</x:v>
      </x:c>
      <x:c r="O115" s="7" t="n">
        <x:v>1</x:v>
      </x:c>
      <x:c r="P115" s="7" t="n">
        <x:v>3</x:v>
      </x:c>
      <x:c r="Q115" s="7" t="n">
        <x:v>3</x:v>
      </x:c>
      <x:c r="R115" s="6" t="str">
        <x:v>흐름 + 덩치 / 에이스 찌릿핀 / 성장 수단 확장 대비 상향안·실전 미검증</x:v>
      </x:c>
    </x:row>
    <x:row r="116" ht="15" hidden="0" customHeight="1">
      <x:c r="A116" s="7" t="n">
        <x:v>11707</x:v>
      </x:c>
      <x:c r="B116" s="7" t="n">
        <x:v>17</x:v>
      </x:c>
      <x:c r="C116" s="6" t="str">
        <x:v>Normal</x:v>
      </x:c>
      <x:c r="D116" s="6" t="str">
        <x:v>deck_07</x:v>
      </x:c>
      <x:c r="E116" s="7" t="n">
        <x:v>4</x:v>
      </x:c>
      <x:c r="F116" s="7" t="n">
        <x:v>4</x:v>
      </x:c>
      <x:c r="G116" s="7" t="n">
        <x:v>4</x:v>
      </x:c>
      <x:c r="H116" s="7" t="n">
        <x:v>4</x:v>
      </x:c>
      <x:c r="I116" s="7" t="n">
        <x:v>4</x:v>
      </x:c>
      <x:c r="J116" s="7" t="n">
        <x:v>4</x:v>
      </x:c>
      <x:c r="K116" s="7" t="n">
        <x:v>1</x:v>
      </x:c>
      <x:c r="L116" s="7" t="n">
        <x:v>3</x:v>
      </x:c>
      <x:c r="M116" s="7" t="n">
        <x:v>3</x:v>
      </x:c>
      <x:c r="N116" s="7" t="n">
        <x:v>3</x:v>
      </x:c>
      <x:c r="O116" s="7" t="n">
        <x:v>1</x:v>
      </x:c>
      <x:c r="P116" s="7" t="n">
        <x:v>1</x:v>
      </x:c>
      <x:c r="Q116" s="7" t="n">
        <x:v>3</x:v>
      </x:c>
      <x:c r="R116" s="6" t="str">
        <x:v>추적 + 덩치 / 에이스 꿈먹이 / 성장 수단 확장 대비 상향안·실전 미검증</x:v>
      </x:c>
    </x:row>
    <x:row r="117" ht="24" hidden="0" customHeight="1">
      <x:c r="A117" s="7" t="n">
        <x:v>11708</x:v>
      </x:c>
      <x:c r="B117" s="7" t="n">
        <x:v>17</x:v>
      </x:c>
      <x:c r="C117" s="6" t="str">
        <x:v>Normal</x:v>
      </x:c>
      <x:c r="D117" s="6" t="str">
        <x:v>deck_08</x:v>
      </x:c>
      <x:c r="E117" s="7" t="n">
        <x:v>4</x:v>
      </x:c>
      <x:c r="F117" s="7" t="n">
        <x:v>4</x:v>
      </x:c>
      <x:c r="G117" s="7" t="n">
        <x:v>4</x:v>
      </x:c>
      <x:c r="H117" s="7" t="n">
        <x:v>4</x:v>
      </x:c>
      <x:c r="I117" s="7" t="n">
        <x:v>4</x:v>
      </x:c>
      <x:c r="J117" s="7" t="n">
        <x:v>4</x:v>
      </x:c>
      <x:c r="K117" s="7" t="n">
        <x:v>3</x:v>
      </x:c>
      <x:c r="L117" s="7" t="n">
        <x:v>1</x:v>
      </x:c>
      <x:c r="M117" s="7" t="n">
        <x:v>1</x:v>
      </x:c>
      <x:c r="N117" s="7" t="n">
        <x:v>1</x:v>
      </x:c>
      <x:c r="O117" s="7" t="n">
        <x:v>3</x:v>
      </x:c>
      <x:c r="P117" s="7" t="n">
        <x:v>3</x:v>
      </x:c>
      <x:c r="Q117" s="7" t="n">
        <x:v>5</x:v>
      </x:c>
      <x:c r="R117" s="6" t="str">
        <x:v>유산 돌격대 / 에이스 대장부리 / 성장 수단 확장 대비 상향안·실전 미검증</x:v>
      </x:c>
    </x:row>
    <x:row r="118" ht="24" hidden="0" customHeight="1">
      <x:c r="A118" s="7" t="n">
        <x:v>11709</x:v>
      </x:c>
      <x:c r="B118" s="7" t="n">
        <x:v>17</x:v>
      </x:c>
      <x:c r="C118" s="6" t="str">
        <x:v>Normal</x:v>
      </x:c>
      <x:c r="D118" s="6" t="str">
        <x:v>deck_09</x:v>
      </x:c>
      <x:c r="E118" s="7" t="n">
        <x:v>4</x:v>
      </x:c>
      <x:c r="F118" s="7" t="n">
        <x:v>4</x:v>
      </x:c>
      <x:c r="G118" s="7" t="n">
        <x:v>4</x:v>
      </x:c>
      <x:c r="H118" s="7" t="n">
        <x:v>4</x:v>
      </x:c>
      <x:c r="I118" s="7" t="n">
        <x:v>4</x:v>
      </x:c>
      <x:c r="J118" s="7" t="n">
        <x:v>4</x:v>
      </x:c>
      <x:c r="K118" s="7" t="n">
        <x:v>1</x:v>
      </x:c>
      <x:c r="L118" s="7" t="n">
        <x:v>1</x:v>
      </x:c>
      <x:c r="M118" s="7" t="n">
        <x:v>3</x:v>
      </x:c>
      <x:c r="N118" s="7" t="n">
        <x:v>3</x:v>
      </x:c>
      <x:c r="O118" s="7" t="n">
        <x:v>1</x:v>
      </x:c>
      <x:c r="P118" s="7" t="n">
        <x:v>3</x:v>
      </x:c>
      <x:c r="Q118" s="7" t="n">
        <x:v>6</x:v>
      </x:c>
      <x:c r="R118" s="6" t="str">
        <x:v>비늘·덩치·포식자 / 에이스 해롱문어 / 성장 수단 확장 대비 상향안·실전 미검증</x:v>
      </x:c>
    </x:row>
    <x:row r="119" ht="24" hidden="0" customHeight="1">
      <x:c r="A119" s="7" t="n">
        <x:v>11801</x:v>
      </x:c>
      <x:c r="B119" s="7" t="n">
        <x:v>18</x:v>
      </x:c>
      <x:c r="C119" s="6" t="str">
        <x:v>Normal</x:v>
      </x:c>
      <x:c r="D119" s="6" t="str">
        <x:v>deck_01</x:v>
      </x:c>
      <x:c r="E119" s="7" t="n">
        <x:v>4</x:v>
      </x:c>
      <x:c r="F119" s="7" t="n">
        <x:v>4</x:v>
      </x:c>
      <x:c r="G119" s="7" t="n">
        <x:v>4</x:v>
      </x:c>
      <x:c r="H119" s="7" t="n">
        <x:v>4</x:v>
      </x:c>
      <x:c r="I119" s="7" t="n">
        <x:v>4</x:v>
      </x:c>
      <x:c r="J119" s="7" t="n">
        <x:v>4</x:v>
      </x:c>
      <x:c r="K119" s="7" t="n">
        <x:v>3</x:v>
      </x:c>
      <x:c r="L119" s="7" t="n">
        <x:v>3</x:v>
      </x:c>
      <x:c r="M119" s="7" t="n">
        <x:v>3</x:v>
      </x:c>
      <x:c r="N119" s="7" t="n">
        <x:v>2</x:v>
      </x:c>
      <x:c r="O119" s="7" t="n">
        <x:v>2</x:v>
      </x:c>
      <x:c r="P119" s="7" t="n">
        <x:v>3</x:v>
      </x:c>
      <x:c r="Q119" s="7" t="n">
        <x:v>3</x:v>
      </x:c>
      <x:c r="R119" s="6" t="str">
        <x:v>낙인 + 포식자 / 에이스 얼음꼬미 / 성장 수단 확장 대비 상향안·실전 미검증</x:v>
      </x:c>
    </x:row>
    <x:row r="120" ht="24" hidden="0" customHeight="1">
      <x:c r="A120" s="7" t="n">
        <x:v>11802</x:v>
      </x:c>
      <x:c r="B120" s="7" t="n">
        <x:v>18</x:v>
      </x:c>
      <x:c r="C120" s="6" t="str">
        <x:v>Normal</x:v>
      </x:c>
      <x:c r="D120" s="6" t="str">
        <x:v>deck_02</x:v>
      </x:c>
      <x:c r="E120" s="7" t="n">
        <x:v>4</x:v>
      </x:c>
      <x:c r="F120" s="7" t="n">
        <x:v>4</x:v>
      </x:c>
      <x:c r="G120" s="7" t="n">
        <x:v>4</x:v>
      </x:c>
      <x:c r="H120" s="7" t="n">
        <x:v>4</x:v>
      </x:c>
      <x:c r="I120" s="7" t="n">
        <x:v>4</x:v>
      </x:c>
      <x:c r="J120" s="7" t="n">
        <x:v>4</x:v>
      </x:c>
      <x:c r="K120" s="7" t="n">
        <x:v>3</x:v>
      </x:c>
      <x:c r="L120" s="7" t="n">
        <x:v>3</x:v>
      </x:c>
      <x:c r="M120" s="7" t="n">
        <x:v>3</x:v>
      </x:c>
      <x:c r="N120" s="7" t="n">
        <x:v>2</x:v>
      </x:c>
      <x:c r="O120" s="7" t="n">
        <x:v>3</x:v>
      </x:c>
      <x:c r="P120" s="7" t="n">
        <x:v>2</x:v>
      </x:c>
      <x:c r="Q120" s="7" t="n">
        <x:v>3</x:v>
      </x:c>
      <x:c r="R120" s="6" t="str">
        <x:v>낙인 + 비늘 / 에이스 얼음꼬미 / 성장 수단 확장 대비 상향안·실전 미검증</x:v>
      </x:c>
    </x:row>
    <x:row r="121" ht="24" hidden="0" customHeight="1">
      <x:c r="A121" s="7" t="n">
        <x:v>11803</x:v>
      </x:c>
      <x:c r="B121" s="7" t="n">
        <x:v>18</x:v>
      </x:c>
      <x:c r="C121" s="6" t="str">
        <x:v>Normal</x:v>
      </x:c>
      <x:c r="D121" s="6" t="str">
        <x:v>deck_03</x:v>
      </x:c>
      <x:c r="E121" s="7" t="n">
        <x:v>4</x:v>
      </x:c>
      <x:c r="F121" s="7" t="n">
        <x:v>4</x:v>
      </x:c>
      <x:c r="G121" s="7" t="n">
        <x:v>4</x:v>
      </x:c>
      <x:c r="H121" s="7" t="n">
        <x:v>4</x:v>
      </x:c>
      <x:c r="I121" s="7" t="n">
        <x:v>4</x:v>
      </x:c>
      <x:c r="J121" s="7" t="n">
        <x:v>4</x:v>
      </x:c>
      <x:c r="K121" s="7" t="n">
        <x:v>3</x:v>
      </x:c>
      <x:c r="L121" s="7" t="n">
        <x:v>3</x:v>
      </x:c>
      <x:c r="M121" s="7" t="n">
        <x:v>3</x:v>
      </x:c>
      <x:c r="N121" s="7" t="n">
        <x:v>2</x:v>
      </x:c>
      <x:c r="O121" s="7" t="n">
        <x:v>2</x:v>
      </x:c>
      <x:c r="P121" s="7" t="n">
        <x:v>3</x:v>
      </x:c>
      <x:c r="Q121" s="7" t="n">
        <x:v>6</x:v>
      </x:c>
      <x:c r="R121" s="6" t="str">
        <x:v>돌보미 + 유산 / 에이스 대장부리 / 성장 수단 확장 대비 상향안·실전 미검증</x:v>
      </x:c>
    </x:row>
    <x:row r="122" ht="24" hidden="0" customHeight="1">
      <x:c r="A122" s="7" t="n">
        <x:v>11804</x:v>
      </x:c>
      <x:c r="B122" s="7" t="n">
        <x:v>18</x:v>
      </x:c>
      <x:c r="C122" s="6" t="str">
        <x:v>Normal</x:v>
      </x:c>
      <x:c r="D122" s="6" t="str">
        <x:v>deck_04</x:v>
      </x:c>
      <x:c r="E122" s="7" t="n">
        <x:v>4</x:v>
      </x:c>
      <x:c r="F122" s="7" t="n">
        <x:v>4</x:v>
      </x:c>
      <x:c r="G122" s="7" t="n">
        <x:v>4</x:v>
      </x:c>
      <x:c r="H122" s="7" t="n">
        <x:v>4</x:v>
      </x:c>
      <x:c r="I122" s="7" t="n">
        <x:v>4</x:v>
      </x:c>
      <x:c r="J122" s="7" t="n">
        <x:v>4</x:v>
      </x:c>
      <x:c r="K122" s="7" t="n">
        <x:v>3</x:v>
      </x:c>
      <x:c r="L122" s="7" t="n">
        <x:v>3</x:v>
      </x:c>
      <x:c r="M122" s="7" t="n">
        <x:v>3</x:v>
      </x:c>
      <x:c r="N122" s="7" t="n">
        <x:v>2</x:v>
      </x:c>
      <x:c r="O122" s="7" t="n">
        <x:v>2</x:v>
      </x:c>
      <x:c r="P122" s="7" t="n">
        <x:v>3</x:v>
      </x:c>
      <x:c r="Q122" s="7" t="n">
        <x:v>6</x:v>
      </x:c>
      <x:c r="R122" s="6" t="str">
        <x:v>돌보미 + 덩치 / 에이스 크랙몬 / 성장 수단 확장 대비 상향안·실전 미검증</x:v>
      </x:c>
    </x:row>
    <x:row r="123" ht="15" hidden="0" customHeight="1">
      <x:c r="A123" s="7" t="n">
        <x:v>11805</x:v>
      </x:c>
      <x:c r="B123" s="7" t="n">
        <x:v>18</x:v>
      </x:c>
      <x:c r="C123" s="6" t="str">
        <x:v>Normal</x:v>
      </x:c>
      <x:c r="D123" s="6" t="str">
        <x:v>deck_05</x:v>
      </x:c>
      <x:c r="E123" s="7" t="n">
        <x:v>4</x:v>
      </x:c>
      <x:c r="F123" s="7" t="n">
        <x:v>4</x:v>
      </x:c>
      <x:c r="G123" s="7" t="n">
        <x:v>4</x:v>
      </x:c>
      <x:c r="H123" s="7" t="n">
        <x:v>4</x:v>
      </x:c>
      <x:c r="I123" s="7" t="n">
        <x:v>4</x:v>
      </x:c>
      <x:c r="J123" s="7" t="n">
        <x:v>4</x:v>
      </x:c>
      <x:c r="K123" s="7" t="n">
        <x:v>3</x:v>
      </x:c>
      <x:c r="L123" s="7" t="n">
        <x:v>3</x:v>
      </x:c>
      <x:c r="M123" s="7" t="n">
        <x:v>3</x:v>
      </x:c>
      <x:c r="N123" s="7" t="n">
        <x:v>2</x:v>
      </x:c>
      <x:c r="O123" s="7" t="n">
        <x:v>3</x:v>
      </x:c>
      <x:c r="P123" s="7" t="n">
        <x:v>2</x:v>
      </x:c>
      <x:c r="Q123" s="7" t="n">
        <x:v>3</x:v>
      </x:c>
      <x:c r="R123" s="6" t="str">
        <x:v>흐름 + 비늘 / 에이스 찌릿핀 / 성장 수단 확장 대비 상향안·실전 미검증</x:v>
      </x:c>
    </x:row>
    <x:row r="124" ht="15" hidden="0" customHeight="1">
      <x:c r="A124" s="7" t="n">
        <x:v>11806</x:v>
      </x:c>
      <x:c r="B124" s="7" t="n">
        <x:v>18</x:v>
      </x:c>
      <x:c r="C124" s="6" t="str">
        <x:v>Normal</x:v>
      </x:c>
      <x:c r="D124" s="6" t="str">
        <x:v>deck_06</x:v>
      </x:c>
      <x:c r="E124" s="7" t="n">
        <x:v>4</x:v>
      </x:c>
      <x:c r="F124" s="7" t="n">
        <x:v>4</x:v>
      </x:c>
      <x:c r="G124" s="7" t="n">
        <x:v>4</x:v>
      </x:c>
      <x:c r="H124" s="7" t="n">
        <x:v>4</x:v>
      </x:c>
      <x:c r="I124" s="7" t="n">
        <x:v>4</x:v>
      </x:c>
      <x:c r="J124" s="7" t="n">
        <x:v>4</x:v>
      </x:c>
      <x:c r="K124" s="7" t="n">
        <x:v>3</x:v>
      </x:c>
      <x:c r="L124" s="7" t="n">
        <x:v>3</x:v>
      </x:c>
      <x:c r="M124" s="7" t="n">
        <x:v>3</x:v>
      </x:c>
      <x:c r="N124" s="7" t="n">
        <x:v>2</x:v>
      </x:c>
      <x:c r="O124" s="7" t="n">
        <x:v>2</x:v>
      </x:c>
      <x:c r="P124" s="7" t="n">
        <x:v>3</x:v>
      </x:c>
      <x:c r="Q124" s="7" t="n">
        <x:v>3</x:v>
      </x:c>
      <x:c r="R124" s="6" t="str">
        <x:v>흐름 + 덩치 / 에이스 찌릿핀 / 성장 수단 확장 대비 상향안·실전 미검증</x:v>
      </x:c>
    </x:row>
    <x:row r="125" ht="15" hidden="0" customHeight="1">
      <x:c r="A125" s="7" t="n">
        <x:v>11807</x:v>
      </x:c>
      <x:c r="B125" s="7" t="n">
        <x:v>18</x:v>
      </x:c>
      <x:c r="C125" s="6" t="str">
        <x:v>Normal</x:v>
      </x:c>
      <x:c r="D125" s="6" t="str">
        <x:v>deck_07</x:v>
      </x:c>
      <x:c r="E125" s="7" t="n">
        <x:v>4</x:v>
      </x:c>
      <x:c r="F125" s="7" t="n">
        <x:v>4</x:v>
      </x:c>
      <x:c r="G125" s="7" t="n">
        <x:v>4</x:v>
      </x:c>
      <x:c r="H125" s="7" t="n">
        <x:v>4</x:v>
      </x:c>
      <x:c r="I125" s="7" t="n">
        <x:v>4</x:v>
      </x:c>
      <x:c r="J125" s="7" t="n">
        <x:v>4</x:v>
      </x:c>
      <x:c r="K125" s="7" t="n">
        <x:v>3</x:v>
      </x:c>
      <x:c r="L125" s="7" t="n">
        <x:v>3</x:v>
      </x:c>
      <x:c r="M125" s="7" t="n">
        <x:v>3</x:v>
      </x:c>
      <x:c r="N125" s="7" t="n">
        <x:v>3</x:v>
      </x:c>
      <x:c r="O125" s="7" t="n">
        <x:v>2</x:v>
      </x:c>
      <x:c r="P125" s="7" t="n">
        <x:v>2</x:v>
      </x:c>
      <x:c r="Q125" s="7" t="n">
        <x:v>3</x:v>
      </x:c>
      <x:c r="R125" s="6" t="str">
        <x:v>추적 + 덩치 / 에이스 꿈먹이 / 성장 수단 확장 대비 상향안·실전 미검증</x:v>
      </x:c>
    </x:row>
    <x:row r="126" ht="24" hidden="0" customHeight="1">
      <x:c r="A126" s="7" t="n">
        <x:v>11808</x:v>
      </x:c>
      <x:c r="B126" s="7" t="n">
        <x:v>18</x:v>
      </x:c>
      <x:c r="C126" s="6" t="str">
        <x:v>Normal</x:v>
      </x:c>
      <x:c r="D126" s="6" t="str">
        <x:v>deck_08</x:v>
      </x:c>
      <x:c r="E126" s="7" t="n">
        <x:v>4</x:v>
      </x:c>
      <x:c r="F126" s="7" t="n">
        <x:v>4</x:v>
      </x:c>
      <x:c r="G126" s="7" t="n">
        <x:v>4</x:v>
      </x:c>
      <x:c r="H126" s="7" t="n">
        <x:v>4</x:v>
      </x:c>
      <x:c r="I126" s="7" t="n">
        <x:v>4</x:v>
      </x:c>
      <x:c r="J126" s="7" t="n">
        <x:v>4</x:v>
      </x:c>
      <x:c r="K126" s="7" t="n">
        <x:v>3</x:v>
      </x:c>
      <x:c r="L126" s="7" t="n">
        <x:v>2</x:v>
      </x:c>
      <x:c r="M126" s="7" t="n">
        <x:v>2</x:v>
      </x:c>
      <x:c r="N126" s="7" t="n">
        <x:v>3</x:v>
      </x:c>
      <x:c r="O126" s="7" t="n">
        <x:v>3</x:v>
      </x:c>
      <x:c r="P126" s="7" t="n">
        <x:v>3</x:v>
      </x:c>
      <x:c r="Q126" s="7" t="n">
        <x:v>5</x:v>
      </x:c>
      <x:c r="R126" s="6" t="str">
        <x:v>유산 돌격대 / 에이스 대장부리 / 성장 수단 확장 대비 상향안·실전 미검증</x:v>
      </x:c>
    </x:row>
    <x:row r="127" ht="24" hidden="0" customHeight="1">
      <x:c r="A127" s="7" t="n">
        <x:v>11809</x:v>
      </x:c>
      <x:c r="B127" s="7" t="n">
        <x:v>18</x:v>
      </x:c>
      <x:c r="C127" s="6" t="str">
        <x:v>Normal</x:v>
      </x:c>
      <x:c r="D127" s="6" t="str">
        <x:v>deck_09</x:v>
      </x:c>
      <x:c r="E127" s="7" t="n">
        <x:v>4</x:v>
      </x:c>
      <x:c r="F127" s="7" t="n">
        <x:v>4</x:v>
      </x:c>
      <x:c r="G127" s="7" t="n">
        <x:v>4</x:v>
      </x:c>
      <x:c r="H127" s="7" t="n">
        <x:v>4</x:v>
      </x:c>
      <x:c r="I127" s="7" t="n">
        <x:v>4</x:v>
      </x:c>
      <x:c r="J127" s="7" t="n">
        <x:v>4</x:v>
      </x:c>
      <x:c r="K127" s="7" t="n">
        <x:v>2</x:v>
      </x:c>
      <x:c r="L127" s="7" t="n">
        <x:v>2</x:v>
      </x:c>
      <x:c r="M127" s="7" t="n">
        <x:v>3</x:v>
      </x:c>
      <x:c r="N127" s="7" t="n">
        <x:v>3</x:v>
      </x:c>
      <x:c r="O127" s="7" t="n">
        <x:v>3</x:v>
      </x:c>
      <x:c r="P127" s="7" t="n">
        <x:v>3</x:v>
      </x:c>
      <x:c r="Q127" s="7" t="n">
        <x:v>6</x:v>
      </x:c>
      <x:c r="R127" s="6" t="str">
        <x:v>비늘·덩치·포식자 / 에이스 해롱문어 / 성장 수단 확장 대비 상향안·실전 미검증</x:v>
      </x:c>
    </x:row>
    <x:row r="128" ht="24" hidden="0" customHeight="1">
      <x:c r="A128" s="7" t="n">
        <x:v>11901</x:v>
      </x:c>
      <x:c r="B128" s="7" t="n">
        <x:v>19</x:v>
      </x:c>
      <x:c r="C128" s="6" t="str">
        <x:v>Normal</x:v>
      </x:c>
      <x:c r="D128" s="6" t="str">
        <x:v>deck_01</x:v>
      </x:c>
      <x:c r="E128" s="7" t="n">
        <x:v>4</x:v>
      </x:c>
      <x:c r="F128" s="7" t="n">
        <x:v>4</x:v>
      </x:c>
      <x:c r="G128" s="7" t="n">
        <x:v>4</x:v>
      </x:c>
      <x:c r="H128" s="7" t="n">
        <x:v>4</x:v>
      </x:c>
      <x:c r="I128" s="7" t="n">
        <x:v>4</x:v>
      </x:c>
      <x:c r="J128" s="7" t="n">
        <x:v>4</x:v>
      </x:c>
      <x:c r="K128" s="7" t="n">
        <x:v>3</x:v>
      </x:c>
      <x:c r="L128" s="7" t="n">
        <x:v>3</x:v>
      </x:c>
      <x:c r="M128" s="7" t="n">
        <x:v>3</x:v>
      </x:c>
      <x:c r="N128" s="7" t="n">
        <x:v>3</x:v>
      </x:c>
      <x:c r="O128" s="7" t="n">
        <x:v>3</x:v>
      </x:c>
      <x:c r="P128" s="7" t="n">
        <x:v>3</x:v>
      </x:c>
      <x:c r="Q128" s="7" t="n">
        <x:v>3</x:v>
      </x:c>
      <x:c r="R128" s="6" t="str">
        <x:v>낙인 + 포식자 / 에이스 얼음꼬미 / 성장 수단 확장 대비 상향안·실전 미검증</x:v>
      </x:c>
    </x:row>
    <x:row r="129" ht="24" hidden="0" customHeight="1">
      <x:c r="A129" s="7" t="n">
        <x:v>11902</x:v>
      </x:c>
      <x:c r="B129" s="7" t="n">
        <x:v>19</x:v>
      </x:c>
      <x:c r="C129" s="6" t="str">
        <x:v>Normal</x:v>
      </x:c>
      <x:c r="D129" s="6" t="str">
        <x:v>deck_02</x:v>
      </x:c>
      <x:c r="E129" s="7" t="n">
        <x:v>4</x:v>
      </x:c>
      <x:c r="F129" s="7" t="n">
        <x:v>4</x:v>
      </x:c>
      <x:c r="G129" s="7" t="n">
        <x:v>4</x:v>
      </x:c>
      <x:c r="H129" s="7" t="n">
        <x:v>4</x:v>
      </x:c>
      <x:c r="I129" s="7" t="n">
        <x:v>4</x:v>
      </x:c>
      <x:c r="J129" s="7" t="n">
        <x:v>4</x:v>
      </x:c>
      <x:c r="K129" s="7" t="n">
        <x:v>3</x:v>
      </x:c>
      <x:c r="L129" s="7" t="n">
        <x:v>3</x:v>
      </x:c>
      <x:c r="M129" s="7" t="n">
        <x:v>3</x:v>
      </x:c>
      <x:c r="N129" s="7" t="n">
        <x:v>3</x:v>
      </x:c>
      <x:c r="O129" s="7" t="n">
        <x:v>3</x:v>
      </x:c>
      <x:c r="P129" s="7" t="n">
        <x:v>3</x:v>
      </x:c>
      <x:c r="Q129" s="7" t="n">
        <x:v>3</x:v>
      </x:c>
      <x:c r="R129" s="6" t="str">
        <x:v>낙인 + 비늘 / 에이스 얼음꼬미 / 성장 수단 확장 대비 상향안·실전 미검증</x:v>
      </x:c>
    </x:row>
    <x:row r="130" ht="24" hidden="0" customHeight="1">
      <x:c r="A130" s="7" t="n">
        <x:v>11903</x:v>
      </x:c>
      <x:c r="B130" s="7" t="n">
        <x:v>19</x:v>
      </x:c>
      <x:c r="C130" s="6" t="str">
        <x:v>Normal</x:v>
      </x:c>
      <x:c r="D130" s="6" t="str">
        <x:v>deck_03</x:v>
      </x:c>
      <x:c r="E130" s="7" t="n">
        <x:v>4</x:v>
      </x:c>
      <x:c r="F130" s="7" t="n">
        <x:v>4</x:v>
      </x:c>
      <x:c r="G130" s="7" t="n">
        <x:v>4</x:v>
      </x:c>
      <x:c r="H130" s="7" t="n">
        <x:v>4</x:v>
      </x:c>
      <x:c r="I130" s="7" t="n">
        <x:v>4</x:v>
      </x:c>
      <x:c r="J130" s="7" t="n">
        <x:v>4</x:v>
      </x:c>
      <x:c r="K130" s="7" t="n">
        <x:v>3</x:v>
      </x:c>
      <x:c r="L130" s="7" t="n">
        <x:v>3</x:v>
      </x:c>
      <x:c r="M130" s="7" t="n">
        <x:v>3</x:v>
      </x:c>
      <x:c r="N130" s="7" t="n">
        <x:v>3</x:v>
      </x:c>
      <x:c r="O130" s="7" t="n">
        <x:v>3</x:v>
      </x:c>
      <x:c r="P130" s="7" t="n">
        <x:v>3</x:v>
      </x:c>
      <x:c r="Q130" s="7" t="n">
        <x:v>6</x:v>
      </x:c>
      <x:c r="R130" s="6" t="str">
        <x:v>돌보미 + 유산 / 에이스 대장부리 / 성장 수단 확장 대비 상향안·실전 미검증</x:v>
      </x:c>
    </x:row>
    <x:row r="131" ht="24" hidden="0" customHeight="1">
      <x:c r="A131" s="7" t="n">
        <x:v>11904</x:v>
      </x:c>
      <x:c r="B131" s="7" t="n">
        <x:v>19</x:v>
      </x:c>
      <x:c r="C131" s="6" t="str">
        <x:v>Normal</x:v>
      </x:c>
      <x:c r="D131" s="6" t="str">
        <x:v>deck_04</x:v>
      </x:c>
      <x:c r="E131" s="7" t="n">
        <x:v>4</x:v>
      </x:c>
      <x:c r="F131" s="7" t="n">
        <x:v>4</x:v>
      </x:c>
      <x:c r="G131" s="7" t="n">
        <x:v>4</x:v>
      </x:c>
      <x:c r="H131" s="7" t="n">
        <x:v>4</x:v>
      </x:c>
      <x:c r="I131" s="7" t="n">
        <x:v>4</x:v>
      </x:c>
      <x:c r="J131" s="7" t="n">
        <x:v>4</x:v>
      </x:c>
      <x:c r="K131" s="7" t="n">
        <x:v>3</x:v>
      </x:c>
      <x:c r="L131" s="7" t="n">
        <x:v>3</x:v>
      </x:c>
      <x:c r="M131" s="7" t="n">
        <x:v>3</x:v>
      </x:c>
      <x:c r="N131" s="7" t="n">
        <x:v>3</x:v>
      </x:c>
      <x:c r="O131" s="7" t="n">
        <x:v>3</x:v>
      </x:c>
      <x:c r="P131" s="7" t="n">
        <x:v>3</x:v>
      </x:c>
      <x:c r="Q131" s="7" t="n">
        <x:v>6</x:v>
      </x:c>
      <x:c r="R131" s="6" t="str">
        <x:v>돌보미 + 덩치 / 에이스 크랙몬 / 성장 수단 확장 대비 상향안·실전 미검증</x:v>
      </x:c>
    </x:row>
    <x:row r="132" ht="15" hidden="0" customHeight="1">
      <x:c r="A132" s="7" t="n">
        <x:v>11905</x:v>
      </x:c>
      <x:c r="B132" s="7" t="n">
        <x:v>19</x:v>
      </x:c>
      <x:c r="C132" s="6" t="str">
        <x:v>Normal</x:v>
      </x:c>
      <x:c r="D132" s="6" t="str">
        <x:v>deck_05</x:v>
      </x:c>
      <x:c r="E132" s="7" t="n">
        <x:v>4</x:v>
      </x:c>
      <x:c r="F132" s="7" t="n">
        <x:v>4</x:v>
      </x:c>
      <x:c r="G132" s="7" t="n">
        <x:v>4</x:v>
      </x:c>
      <x:c r="H132" s="7" t="n">
        <x:v>4</x:v>
      </x:c>
      <x:c r="I132" s="7" t="n">
        <x:v>4</x:v>
      </x:c>
      <x:c r="J132" s="7" t="n">
        <x:v>4</x:v>
      </x:c>
      <x:c r="K132" s="7" t="n">
        <x:v>3</x:v>
      </x:c>
      <x:c r="L132" s="7" t="n">
        <x:v>3</x:v>
      </x:c>
      <x:c r="M132" s="7" t="n">
        <x:v>3</x:v>
      </x:c>
      <x:c r="N132" s="7" t="n">
        <x:v>3</x:v>
      </x:c>
      <x:c r="O132" s="7" t="n">
        <x:v>3</x:v>
      </x:c>
      <x:c r="P132" s="7" t="n">
        <x:v>3</x:v>
      </x:c>
      <x:c r="Q132" s="7" t="n">
        <x:v>3</x:v>
      </x:c>
      <x:c r="R132" s="6" t="str">
        <x:v>흐름 + 비늘 / 에이스 찌릿핀 / 성장 수단 확장 대비 상향안·실전 미검증</x:v>
      </x:c>
    </x:row>
    <x:row r="133" ht="15" hidden="0" customHeight="1">
      <x:c r="A133" s="7" t="n">
        <x:v>11906</x:v>
      </x:c>
      <x:c r="B133" s="7" t="n">
        <x:v>19</x:v>
      </x:c>
      <x:c r="C133" s="6" t="str">
        <x:v>Normal</x:v>
      </x:c>
      <x:c r="D133" s="6" t="str">
        <x:v>deck_06</x:v>
      </x:c>
      <x:c r="E133" s="7" t="n">
        <x:v>4</x:v>
      </x:c>
      <x:c r="F133" s="7" t="n">
        <x:v>4</x:v>
      </x:c>
      <x:c r="G133" s="7" t="n">
        <x:v>4</x:v>
      </x:c>
      <x:c r="H133" s="7" t="n">
        <x:v>4</x:v>
      </x:c>
      <x:c r="I133" s="7" t="n">
        <x:v>4</x:v>
      </x:c>
      <x:c r="J133" s="7" t="n">
        <x:v>4</x:v>
      </x:c>
      <x:c r="K133" s="7" t="n">
        <x:v>3</x:v>
      </x:c>
      <x:c r="L133" s="7" t="n">
        <x:v>3</x:v>
      </x:c>
      <x:c r="M133" s="7" t="n">
        <x:v>3</x:v>
      </x:c>
      <x:c r="N133" s="7" t="n">
        <x:v>3</x:v>
      </x:c>
      <x:c r="O133" s="7" t="n">
        <x:v>3</x:v>
      </x:c>
      <x:c r="P133" s="7" t="n">
        <x:v>3</x:v>
      </x:c>
      <x:c r="Q133" s="7" t="n">
        <x:v>3</x:v>
      </x:c>
      <x:c r="R133" s="6" t="str">
        <x:v>흐름 + 덩치 / 에이스 찌릿핀 / 성장 수단 확장 대비 상향안·실전 미검증</x:v>
      </x:c>
    </x:row>
    <x:row r="134" ht="15" hidden="0" customHeight="1">
      <x:c r="A134" s="7" t="n">
        <x:v>11907</x:v>
      </x:c>
      <x:c r="B134" s="7" t="n">
        <x:v>19</x:v>
      </x:c>
      <x:c r="C134" s="6" t="str">
        <x:v>Normal</x:v>
      </x:c>
      <x:c r="D134" s="6" t="str">
        <x:v>deck_07</x:v>
      </x:c>
      <x:c r="E134" s="7" t="n">
        <x:v>4</x:v>
      </x:c>
      <x:c r="F134" s="7" t="n">
        <x:v>4</x:v>
      </x:c>
      <x:c r="G134" s="7" t="n">
        <x:v>4</x:v>
      </x:c>
      <x:c r="H134" s="7" t="n">
        <x:v>4</x:v>
      </x:c>
      <x:c r="I134" s="7" t="n">
        <x:v>4</x:v>
      </x:c>
      <x:c r="J134" s="7" t="n">
        <x:v>4</x:v>
      </x:c>
      <x:c r="K134" s="7" t="n">
        <x:v>3</x:v>
      </x:c>
      <x:c r="L134" s="7" t="n">
        <x:v>3</x:v>
      </x:c>
      <x:c r="M134" s="7" t="n">
        <x:v>3</x:v>
      </x:c>
      <x:c r="N134" s="7" t="n">
        <x:v>3</x:v>
      </x:c>
      <x:c r="O134" s="7" t="n">
        <x:v>3</x:v>
      </x:c>
      <x:c r="P134" s="7" t="n">
        <x:v>3</x:v>
      </x:c>
      <x:c r="Q134" s="7" t="n">
        <x:v>3</x:v>
      </x:c>
      <x:c r="R134" s="6" t="str">
        <x:v>추적 + 덩치 / 에이스 꿈먹이 / 성장 수단 확장 대비 상향안·실전 미검증</x:v>
      </x:c>
    </x:row>
    <x:row r="135" ht="24" hidden="0" customHeight="1">
      <x:c r="A135" s="7" t="n">
        <x:v>11908</x:v>
      </x:c>
      <x:c r="B135" s="7" t="n">
        <x:v>19</x:v>
      </x:c>
      <x:c r="C135" s="6" t="str">
        <x:v>Normal</x:v>
      </x:c>
      <x:c r="D135" s="6" t="str">
        <x:v>deck_08</x:v>
      </x:c>
      <x:c r="E135" s="7" t="n">
        <x:v>4</x:v>
      </x:c>
      <x:c r="F135" s="7" t="n">
        <x:v>4</x:v>
      </x:c>
      <x:c r="G135" s="7" t="n">
        <x:v>4</x:v>
      </x:c>
      <x:c r="H135" s="7" t="n">
        <x:v>4</x:v>
      </x:c>
      <x:c r="I135" s="7" t="n">
        <x:v>4</x:v>
      </x:c>
      <x:c r="J135" s="7" t="n">
        <x:v>4</x:v>
      </x:c>
      <x:c r="K135" s="7" t="n">
        <x:v>3</x:v>
      </x:c>
      <x:c r="L135" s="7" t="n">
        <x:v>3</x:v>
      </x:c>
      <x:c r="M135" s="7" t="n">
        <x:v>3</x:v>
      </x:c>
      <x:c r="N135" s="7" t="n">
        <x:v>3</x:v>
      </x:c>
      <x:c r="O135" s="7" t="n">
        <x:v>3</x:v>
      </x:c>
      <x:c r="P135" s="7" t="n">
        <x:v>3</x:v>
      </x:c>
      <x:c r="Q135" s="7" t="n">
        <x:v>5</x:v>
      </x:c>
      <x:c r="R135" s="6" t="str">
        <x:v>유산 돌격대 / 에이스 대장부리 / 성장 수단 확장 대비 상향안·실전 미검증</x:v>
      </x:c>
    </x:row>
    <x:row r="136" ht="24" hidden="0" customHeight="1">
      <x:c r="A136" s="7" t="n">
        <x:v>11909</x:v>
      </x:c>
      <x:c r="B136" s="7" t="n">
        <x:v>19</x:v>
      </x:c>
      <x:c r="C136" s="6" t="str">
        <x:v>Normal</x:v>
      </x:c>
      <x:c r="D136" s="6" t="str">
        <x:v>deck_09</x:v>
      </x:c>
      <x:c r="E136" s="7" t="n">
        <x:v>4</x:v>
      </x:c>
      <x:c r="F136" s="7" t="n">
        <x:v>4</x:v>
      </x:c>
      <x:c r="G136" s="7" t="n">
        <x:v>4</x:v>
      </x:c>
      <x:c r="H136" s="7" t="n">
        <x:v>4</x:v>
      </x:c>
      <x:c r="I136" s="7" t="n">
        <x:v>4</x:v>
      </x:c>
      <x:c r="J136" s="7" t="n">
        <x:v>4</x:v>
      </x:c>
      <x:c r="K136" s="7" t="n">
        <x:v>3</x:v>
      </x:c>
      <x:c r="L136" s="7" t="n">
        <x:v>3</x:v>
      </x:c>
      <x:c r="M136" s="7" t="n">
        <x:v>3</x:v>
      </x:c>
      <x:c r="N136" s="7" t="n">
        <x:v>3</x:v>
      </x:c>
      <x:c r="O136" s="7" t="n">
        <x:v>3</x:v>
      </x:c>
      <x:c r="P136" s="7" t="n">
        <x:v>3</x:v>
      </x:c>
      <x:c r="Q136" s="7" t="n">
        <x:v>6</x:v>
      </x:c>
      <x:c r="R136" s="6" t="str">
        <x:v>비늘·덩치·포식자 / 에이스 해롱문어 / 성장 수단 확장 대비 상향안·실전 미검증</x:v>
      </x:c>
    </x:row>
    <x:row r="137" ht="15" hidden="0" customHeight="1">
      <x:c r="A137" s="7" t="n">
        <x:v>30312</x:v>
      </x:c>
      <x:c r="B137" s="7" t="n">
        <x:v>3</x:v>
      </x:c>
      <x:c r="C137" s="6" t="str">
        <x:v>GradeFinal</x:v>
      </x:c>
      <x:c r="D137" s="6" t="str">
        <x:v>deck_12</x:v>
      </x:c>
      <x:c r="E137" s="7" t="n">
        <x:v>4</x:v>
      </x:c>
      <x:c r="F137" s="7" t="n">
        <x:v>4</x:v>
      </x:c>
      <x:c r="G137" s="7" t="n">
        <x:v>3</x:v>
      </x:c>
      <x:c r="H137" s="7" t="n">
        <x:v>3</x:v>
      </x:c>
      <x:c r="I137" s="7" t="n">
        <x:v>3</x:v>
      </x:c>
      <x:c r="J137" s="7" t="n">
        <x:v>3</x:v>
      </x:c>
      <x:c r="K137" s="7" t="n">
        <x:v>0</x:v>
      </x:c>
      <x:c r="L137" s="7" t="n">
        <x:v>0</x:v>
      </x:c>
      <x:c r="M137" s="7" t="n">
        <x:v>0</x:v>
      </x:c>
      <x:c r="N137" s="7" t="n">
        <x:v>0</x:v>
      </x:c>
      <x:c r="O137" s="7" t="n">
        <x:v>0</x:v>
      </x:c>
      <x:c r="P137" s="7" t="n">
        <x:v>0</x:v>
      </x:c>
      <x:c r="Q137" s="7" t="n">
        <x:v>1</x:v>
      </x:c>
      <x:c r="R137" s="6" t="str">
        <x:v>초반 상향 / 시너지 해금·주력 성급을 앞당김</x:v>
      </x:c>
    </x:row>
    <x:row r="138" ht="15" hidden="0" customHeight="1">
      <x:c r="A138" s="7" t="n">
        <x:v>30313</x:v>
      </x:c>
      <x:c r="B138" s="7" t="n">
        <x:v>3</x:v>
      </x:c>
      <x:c r="C138" s="6" t="str">
        <x:v>GradeFinal</x:v>
      </x:c>
      <x:c r="D138" s="6" t="str">
        <x:v>deck_13</x:v>
      </x:c>
      <x:c r="E138" s="7" t="n">
        <x:v>4</x:v>
      </x:c>
      <x:c r="F138" s="7" t="n">
        <x:v>3</x:v>
      </x:c>
      <x:c r="G138" s="7" t="n">
        <x:v>3</x:v>
      </x:c>
      <x:c r="H138" s="7" t="n">
        <x:v>4</x:v>
      </x:c>
      <x:c r="I138" s="7" t="n">
        <x:v>3</x:v>
      </x:c>
      <x:c r="J138" s="7" t="n">
        <x:v>3</x:v>
      </x:c>
      <x:c r="K138" s="7" t="n">
        <x:v>0</x:v>
      </x:c>
      <x:c r="L138" s="7" t="n">
        <x:v>0</x:v>
      </x:c>
      <x:c r="M138" s="7" t="n">
        <x:v>0</x:v>
      </x:c>
      <x:c r="N138" s="7" t="n">
        <x:v>0</x:v>
      </x:c>
      <x:c r="O138" s="7" t="n">
        <x:v>0</x:v>
      </x:c>
      <x:c r="P138" s="7" t="n">
        <x:v>0</x:v>
      </x:c>
      <x:c r="Q138" s="7" t="n">
        <x:v>4</x:v>
      </x:c>
      <x:c r="R138" s="6" t="str">
        <x:v>초반 상향 / 시너지 해금·주력 성급을 앞당김</x:v>
      </x:c>
    </x:row>
    <x:row r="139" ht="15" hidden="0" customHeight="1">
      <x:c r="A139" s="7" t="n">
        <x:v>30314</x:v>
      </x:c>
      <x:c r="B139" s="7" t="n">
        <x:v>3</x:v>
      </x:c>
      <x:c r="C139" s="6" t="str">
        <x:v>GradeFinal</x:v>
      </x:c>
      <x:c r="D139" s="6" t="str">
        <x:v>deck_14</x:v>
      </x:c>
      <x:c r="E139" s="7" t="n">
        <x:v>4</x:v>
      </x:c>
      <x:c r="F139" s="7" t="n">
        <x:v>3</x:v>
      </x:c>
      <x:c r="G139" s="7" t="n">
        <x:v>4</x:v>
      </x:c>
      <x:c r="H139" s="7" t="n">
        <x:v>3</x:v>
      </x:c>
      <x:c r="I139" s="7" t="n">
        <x:v>3</x:v>
      </x:c>
      <x:c r="J139" s="7" t="n">
        <x:v>3</x:v>
      </x:c>
      <x:c r="K139" s="7" t="n">
        <x:v>0</x:v>
      </x:c>
      <x:c r="L139" s="7" t="n">
        <x:v>0</x:v>
      </x:c>
      <x:c r="M139" s="7" t="n">
        <x:v>0</x:v>
      </x:c>
      <x:c r="N139" s="7" t="n">
        <x:v>0</x:v>
      </x:c>
      <x:c r="O139" s="7" t="n">
        <x:v>0</x:v>
      </x:c>
      <x:c r="P139" s="7" t="n">
        <x:v>0</x:v>
      </x:c>
      <x:c r="Q139" s="7" t="n">
        <x:v>3</x:v>
      </x:c>
      <x:c r="R139" s="6" t="str">
        <x:v>초반 상향 / 시너지 해금·주력 성급을 앞당김</x:v>
      </x:c>
    </x:row>
    <x:row r="140" ht="15" hidden="0" customHeight="1">
      <x:c r="A140" s="7" t="n">
        <x:v>30315</x:v>
      </x:c>
      <x:c r="B140" s="7" t="n">
        <x:v>3</x:v>
      </x:c>
      <x:c r="C140" s="6" t="str">
        <x:v>GradeFinal</x:v>
      </x:c>
      <x:c r="D140" s="6" t="str">
        <x:v>deck_15</x:v>
      </x:c>
      <x:c r="E140" s="7" t="n">
        <x:v>4</x:v>
      </x:c>
      <x:c r="F140" s="7" t="n">
        <x:v>3</x:v>
      </x:c>
      <x:c r="G140" s="7" t="n">
        <x:v>3</x:v>
      </x:c>
      <x:c r="H140" s="7" t="n">
        <x:v>4</x:v>
      </x:c>
      <x:c r="I140" s="7" t="n">
        <x:v>3</x:v>
      </x:c>
      <x:c r="J140" s="7" t="n">
        <x:v>3</x:v>
      </x:c>
      <x:c r="K140" s="7" t="n">
        <x:v>0</x:v>
      </x:c>
      <x:c r="L140" s="7" t="n">
        <x:v>0</x:v>
      </x:c>
      <x:c r="M140" s="7" t="n">
        <x:v>0</x:v>
      </x:c>
      <x:c r="N140" s="7" t="n">
        <x:v>0</x:v>
      </x:c>
      <x:c r="O140" s="7" t="n">
        <x:v>0</x:v>
      </x:c>
      <x:c r="P140" s="7" t="n">
        <x:v>0</x:v>
      </x:c>
      <x:c r="Q140" s="7" t="n">
        <x:v>4</x:v>
      </x:c>
      <x:c r="R140" s="6" t="str">
        <x:v>초반 상향 / 시너지 해금·주력 성급을 앞당김</x:v>
      </x:c>
    </x:row>
    <x:row r="141" ht="15" hidden="0" customHeight="1">
      <x:c r="A141" s="7" t="n">
        <x:v>30316</x:v>
      </x:c>
      <x:c r="B141" s="7" t="n">
        <x:v>3</x:v>
      </x:c>
      <x:c r="C141" s="6" t="str">
        <x:v>GradeFinal</x:v>
      </x:c>
      <x:c r="D141" s="6" t="str">
        <x:v>deck_16</x:v>
      </x:c>
      <x:c r="E141" s="7" t="n">
        <x:v>4</x:v>
      </x:c>
      <x:c r="F141" s="7" t="n">
        <x:v>3</x:v>
      </x:c>
      <x:c r="G141" s="7" t="n">
        <x:v>3</x:v>
      </x:c>
      <x:c r="H141" s="7" t="n">
        <x:v>4</x:v>
      </x:c>
      <x:c r="I141" s="7" t="n">
        <x:v>3</x:v>
      </x:c>
      <x:c r="J141" s="7" t="n">
        <x:v>3</x:v>
      </x:c>
      <x:c r="K141" s="7" t="n">
        <x:v>0</x:v>
      </x:c>
      <x:c r="L141" s="7" t="n">
        <x:v>0</x:v>
      </x:c>
      <x:c r="M141" s="7" t="n">
        <x:v>0</x:v>
      </x:c>
      <x:c r="N141" s="7" t="n">
        <x:v>0</x:v>
      </x:c>
      <x:c r="O141" s="7" t="n">
        <x:v>0</x:v>
      </x:c>
      <x:c r="P141" s="7" t="n">
        <x:v>0</x:v>
      </x:c>
      <x:c r="Q141" s="7" t="n">
        <x:v>4</x:v>
      </x:c>
      <x:c r="R141" s="6" t="str">
        <x:v>초반 상향 / 시너지 해금·주력 성급을 앞당김</x:v>
      </x:c>
    </x:row>
    <x:row r="142" ht="24" hidden="0" customHeight="1">
      <x:c r="A142" s="7" t="n">
        <x:v>30719</x:v>
      </x:c>
      <x:c r="B142" s="7" t="n">
        <x:v>7</x:v>
      </x:c>
      <x:c r="C142" s="6" t="str">
        <x:v>GradeFinal</x:v>
      </x:c>
      <x:c r="D142" s="6" t="str">
        <x:v>deck_19</x:v>
      </x:c>
      <x:c r="E142" s="7" t="n">
        <x:v>4</x:v>
      </x:c>
      <x:c r="F142" s="7" t="n">
        <x:v>4</x:v>
      </x:c>
      <x:c r="G142" s="7" t="n">
        <x:v>4</x:v>
      </x:c>
      <x:c r="H142" s="7" t="n">
        <x:v>3</x:v>
      </x:c>
      <x:c r="I142" s="7" t="n">
        <x:v>3</x:v>
      </x:c>
      <x:c r="J142" s="7" t="n">
        <x:v>3</x:v>
      </x:c>
      <x:c r="K142" s="7" t="n">
        <x:v>0</x:v>
      </x:c>
      <x:c r="L142" s="7" t="n">
        <x:v>0</x:v>
      </x:c>
      <x:c r="M142" s="7" t="n">
        <x:v>0</x:v>
      </x:c>
      <x:c r="N142" s="7" t="n">
        <x:v>0</x:v>
      </x:c>
      <x:c r="O142" s="7" t="n">
        <x:v>0</x:v>
      </x:c>
      <x:c r="P142" s="7" t="n">
        <x:v>0</x:v>
      </x:c>
      <x:c r="Q142" s="7" t="n">
        <x:v>1</x:v>
      </x:c>
      <x:c r="R142" s="6" t="str">
        <x:v>비늘 공격대 / 에이스 크리스탈혼 / 성장 수단 확장 대비 상향안·실전 미검증</x:v>
      </x:c>
    </x:row>
    <x:row r="143" ht="24" hidden="0" customHeight="1">
      <x:c r="A143" s="7" t="n">
        <x:v>30720</x:v>
      </x:c>
      <x:c r="B143" s="7" t="n">
        <x:v>7</x:v>
      </x:c>
      <x:c r="C143" s="6" t="str">
        <x:v>GradeFinal</x:v>
      </x:c>
      <x:c r="D143" s="6" t="str">
        <x:v>deck_20</x:v>
      </x:c>
      <x:c r="E143" s="7" t="n">
        <x:v>4</x:v>
      </x:c>
      <x:c r="F143" s="7" t="n">
        <x:v>4</x:v>
      </x:c>
      <x:c r="G143" s="7" t="n">
        <x:v>4</x:v>
      </x:c>
      <x:c r="H143" s="7" t="n">
        <x:v>3</x:v>
      </x:c>
      <x:c r="I143" s="7" t="n">
        <x:v>3</x:v>
      </x:c>
      <x:c r="J143" s="7" t="n">
        <x:v>3</x:v>
      </x:c>
      <x:c r="K143" s="7" t="n">
        <x:v>0</x:v>
      </x:c>
      <x:c r="L143" s="7" t="n">
        <x:v>0</x:v>
      </x:c>
      <x:c r="M143" s="7" t="n">
        <x:v>0</x:v>
      </x:c>
      <x:c r="N143" s="7" t="n">
        <x:v>0</x:v>
      </x:c>
      <x:c r="O143" s="7" t="n">
        <x:v>0</x:v>
      </x:c>
      <x:c r="P143" s="7" t="n">
        <x:v>0</x:v>
      </x:c>
      <x:c r="Q143" s="7" t="n">
        <x:v>2</x:v>
      </x:c>
      <x:c r="R143" s="6" t="str">
        <x:v>덩치 공격대 / 에이스 크랙몬 / 성장 수단 확장 대비 상향안·실전 미검증</x:v>
      </x:c>
    </x:row>
    <x:row r="144" ht="24" hidden="0" customHeight="1">
      <x:c r="A144" s="7" t="n">
        <x:v>30721</x:v>
      </x:c>
      <x:c r="B144" s="7" t="n">
        <x:v>7</x:v>
      </x:c>
      <x:c r="C144" s="6" t="str">
        <x:v>GradeFinal</x:v>
      </x:c>
      <x:c r="D144" s="6" t="str">
        <x:v>deck_21</x:v>
      </x:c>
      <x:c r="E144" s="7" t="n">
        <x:v>4</x:v>
      </x:c>
      <x:c r="F144" s="7" t="n">
        <x:v>4</x:v>
      </x:c>
      <x:c r="G144" s="7" t="n">
        <x:v>3</x:v>
      </x:c>
      <x:c r="H144" s="7" t="n">
        <x:v>4</x:v>
      </x:c>
      <x:c r="I144" s="7" t="n">
        <x:v>3</x:v>
      </x:c>
      <x:c r="J144" s="7" t="n">
        <x:v>3</x:v>
      </x:c>
      <x:c r="K144" s="7" t="n">
        <x:v>0</x:v>
      </x:c>
      <x:c r="L144" s="7" t="n">
        <x:v>0</x:v>
      </x:c>
      <x:c r="M144" s="7" t="n">
        <x:v>0</x:v>
      </x:c>
      <x:c r="N144" s="7" t="n">
        <x:v>0</x:v>
      </x:c>
      <x:c r="O144" s="7" t="n">
        <x:v>0</x:v>
      </x:c>
      <x:c r="P144" s="7" t="n">
        <x:v>0</x:v>
      </x:c>
      <x:c r="Q144" s="7" t="n">
        <x:v>4</x:v>
      </x:c>
      <x:c r="R144" s="6" t="str">
        <x:v>낙인 추격대 / 에이스 얼음꼬미 / 성장 수단 확장 대비 상향안·실전 미검증</x:v>
      </x:c>
    </x:row>
    <x:row r="145" ht="24" hidden="0" customHeight="1">
      <x:c r="A145" s="7" t="n">
        <x:v>30722</x:v>
      </x:c>
      <x:c r="B145" s="7" t="n">
        <x:v>7</x:v>
      </x:c>
      <x:c r="C145" s="6" t="str">
        <x:v>GradeFinal</x:v>
      </x:c>
      <x:c r="D145" s="6" t="str">
        <x:v>deck_22</x:v>
      </x:c>
      <x:c r="E145" s="7" t="n">
        <x:v>4</x:v>
      </x:c>
      <x:c r="F145" s="7" t="n">
        <x:v>4</x:v>
      </x:c>
      <x:c r="G145" s="7" t="n">
        <x:v>4</x:v>
      </x:c>
      <x:c r="H145" s="7" t="n">
        <x:v>3</x:v>
      </x:c>
      <x:c r="I145" s="7" t="n">
        <x:v>3</x:v>
      </x:c>
      <x:c r="J145" s="7" t="n">
        <x:v>3</x:v>
      </x:c>
      <x:c r="K145" s="7" t="n">
        <x:v>0</x:v>
      </x:c>
      <x:c r="L145" s="7" t="n">
        <x:v>0</x:v>
      </x:c>
      <x:c r="M145" s="7" t="n">
        <x:v>0</x:v>
      </x:c>
      <x:c r="N145" s="7" t="n">
        <x:v>0</x:v>
      </x:c>
      <x:c r="O145" s="7" t="n">
        <x:v>0</x:v>
      </x:c>
      <x:c r="P145" s="7" t="n">
        <x:v>0</x:v>
      </x:c>
      <x:c r="Q145" s="7" t="n">
        <x:v>2</x:v>
      </x:c>
      <x:c r="R145" s="6" t="str">
        <x:v>비늘 + 유산 / 에이스 대장부리 / 성장 수단 확장 대비 상향안·실전 미검증</x:v>
      </x:c>
    </x:row>
    <x:row r="146" ht="24" hidden="0" customHeight="1">
      <x:c r="A146" s="7" t="n">
        <x:v>31101</x:v>
      </x:c>
      <x:c r="B146" s="7" t="n">
        <x:v>11</x:v>
      </x:c>
      <x:c r="C146" s="6" t="str">
        <x:v>GradeFinal</x:v>
      </x:c>
      <x:c r="D146" s="6" t="str">
        <x:v>deck_01</x:v>
      </x:c>
      <x:c r="E146" s="7" t="n">
        <x:v>4</x:v>
      </x:c>
      <x:c r="F146" s="7" t="n">
        <x:v>4</x:v>
      </x:c>
      <x:c r="G146" s="7" t="n">
        <x:v>4</x:v>
      </x:c>
      <x:c r="H146" s="7" t="n">
        <x:v>3</x:v>
      </x:c>
      <x:c r="I146" s="7" t="n">
        <x:v>4</x:v>
      </x:c>
      <x:c r="J146" s="7" t="n">
        <x:v>4</x:v>
      </x:c>
      <x:c r="K146" s="7" t="n">
        <x:v>0</x:v>
      </x:c>
      <x:c r="L146" s="7" t="n">
        <x:v>0</x:v>
      </x:c>
      <x:c r="M146" s="7" t="n">
        <x:v>2</x:v>
      </x:c>
      <x:c r="N146" s="7" t="n">
        <x:v>0</x:v>
      </x:c>
      <x:c r="O146" s="7" t="n">
        <x:v>0</x:v>
      </x:c>
      <x:c r="P146" s="7" t="n">
        <x:v>0</x:v>
      </x:c>
      <x:c r="Q146" s="7" t="n">
        <x:v>3</x:v>
      </x:c>
      <x:c r="R146" s="6" t="str">
        <x:v>낙인 + 포식자 / 에이스 얼음꼬미 / 성장 수단 확장 대비 상향안·실전 미검증</x:v>
      </x:c>
    </x:row>
    <x:row r="147" ht="24" hidden="0" customHeight="1">
      <x:c r="A147" s="7" t="n">
        <x:v>31102</x:v>
      </x:c>
      <x:c r="B147" s="7" t="n">
        <x:v>11</x:v>
      </x:c>
      <x:c r="C147" s="6" t="str">
        <x:v>GradeFinal</x:v>
      </x:c>
      <x:c r="D147" s="6" t="str">
        <x:v>deck_02</x:v>
      </x:c>
      <x:c r="E147" s="7" t="n">
        <x:v>4</x:v>
      </x:c>
      <x:c r="F147" s="7" t="n">
        <x:v>4</x:v>
      </x:c>
      <x:c r="G147" s="7" t="n">
        <x:v>4</x:v>
      </x:c>
      <x:c r="H147" s="7" t="n">
        <x:v>3</x:v>
      </x:c>
      <x:c r="I147" s="7" t="n">
        <x:v>4</x:v>
      </x:c>
      <x:c r="J147" s="7" t="n">
        <x:v>4</x:v>
      </x:c>
      <x:c r="K147" s="7" t="n">
        <x:v>0</x:v>
      </x:c>
      <x:c r="L147" s="7" t="n">
        <x:v>0</x:v>
      </x:c>
      <x:c r="M147" s="7" t="n">
        <x:v>2</x:v>
      </x:c>
      <x:c r="N147" s="7" t="n">
        <x:v>0</x:v>
      </x:c>
      <x:c r="O147" s="7" t="n">
        <x:v>0</x:v>
      </x:c>
      <x:c r="P147" s="7" t="n">
        <x:v>0</x:v>
      </x:c>
      <x:c r="Q147" s="7" t="n">
        <x:v>3</x:v>
      </x:c>
      <x:c r="R147" s="6" t="str">
        <x:v>낙인 + 비늘 / 에이스 얼음꼬미 / 성장 수단 확장 대비 상향안·실전 미검증</x:v>
      </x:c>
    </x:row>
    <x:row r="148" ht="24" hidden="0" customHeight="1">
      <x:c r="A148" s="7" t="n">
        <x:v>31103</x:v>
      </x:c>
      <x:c r="B148" s="7" t="n">
        <x:v>11</x:v>
      </x:c>
      <x:c r="C148" s="6" t="str">
        <x:v>GradeFinal</x:v>
      </x:c>
      <x:c r="D148" s="6" t="str">
        <x:v>deck_03</x:v>
      </x:c>
      <x:c r="E148" s="7" t="n">
        <x:v>4</x:v>
      </x:c>
      <x:c r="F148" s="7" t="n">
        <x:v>4</x:v>
      </x:c>
      <x:c r="G148" s="7" t="n">
        <x:v>4</x:v>
      </x:c>
      <x:c r="H148" s="7" t="n">
        <x:v>3</x:v>
      </x:c>
      <x:c r="I148" s="7" t="n">
        <x:v>4</x:v>
      </x:c>
      <x:c r="J148" s="7" t="n">
        <x:v>4</x:v>
      </x:c>
      <x:c r="K148" s="7" t="n">
        <x:v>0</x:v>
      </x:c>
      <x:c r="L148" s="7" t="n">
        <x:v>0</x:v>
      </x:c>
      <x:c r="M148" s="7" t="n">
        <x:v>0</x:v>
      </x:c>
      <x:c r="N148" s="7" t="n">
        <x:v>0</x:v>
      </x:c>
      <x:c r="O148" s="7" t="n">
        <x:v>0</x:v>
      </x:c>
      <x:c r="P148" s="7" t="n">
        <x:v>2</x:v>
      </x:c>
      <x:c r="Q148" s="7" t="n">
        <x:v>6</x:v>
      </x:c>
      <x:c r="R148" s="6" t="str">
        <x:v>돌보미 + 유산 / 에이스 대장부리 / 성장 수단 확장 대비 상향안·실전 미검증</x:v>
      </x:c>
    </x:row>
    <x:row r="149" ht="24" hidden="0" customHeight="1">
      <x:c r="A149" s="7" t="n">
        <x:v>31104</x:v>
      </x:c>
      <x:c r="B149" s="7" t="n">
        <x:v>11</x:v>
      </x:c>
      <x:c r="C149" s="6" t="str">
        <x:v>GradeFinal</x:v>
      </x:c>
      <x:c r="D149" s="6" t="str">
        <x:v>deck_04</x:v>
      </x:c>
      <x:c r="E149" s="7" t="n">
        <x:v>4</x:v>
      </x:c>
      <x:c r="F149" s="7" t="n">
        <x:v>4</x:v>
      </x:c>
      <x:c r="G149" s="7" t="n">
        <x:v>4</x:v>
      </x:c>
      <x:c r="H149" s="7" t="n">
        <x:v>3</x:v>
      </x:c>
      <x:c r="I149" s="7" t="n">
        <x:v>4</x:v>
      </x:c>
      <x:c r="J149" s="7" t="n">
        <x:v>4</x:v>
      </x:c>
      <x:c r="K149" s="7" t="n">
        <x:v>0</x:v>
      </x:c>
      <x:c r="L149" s="7" t="n">
        <x:v>0</x:v>
      </x:c>
      <x:c r="M149" s="7" t="n">
        <x:v>0</x:v>
      </x:c>
      <x:c r="N149" s="7" t="n">
        <x:v>0</x:v>
      </x:c>
      <x:c r="O149" s="7" t="n">
        <x:v>0</x:v>
      </x:c>
      <x:c r="P149" s="7" t="n">
        <x:v>2</x:v>
      </x:c>
      <x:c r="Q149" s="7" t="n">
        <x:v>6</x:v>
      </x:c>
      <x:c r="R149" s="6" t="str">
        <x:v>돌보미 + 덩치 / 에이스 크랙몬 / 성장 수단 확장 대비 상향안·실전 미검증</x:v>
      </x:c>
    </x:row>
    <x:row r="150" ht="15" hidden="0" customHeight="1">
      <x:c r="A150" s="7" t="n">
        <x:v>31105</x:v>
      </x:c>
      <x:c r="B150" s="7" t="n">
        <x:v>11</x:v>
      </x:c>
      <x:c r="C150" s="6" t="str">
        <x:v>GradeFinal</x:v>
      </x:c>
      <x:c r="D150" s="6" t="str">
        <x:v>deck_05</x:v>
      </x:c>
      <x:c r="E150" s="7" t="n">
        <x:v>4</x:v>
      </x:c>
      <x:c r="F150" s="7" t="n">
        <x:v>4</x:v>
      </x:c>
      <x:c r="G150" s="7" t="n">
        <x:v>4</x:v>
      </x:c>
      <x:c r="H150" s="7" t="n">
        <x:v>3</x:v>
      </x:c>
      <x:c r="I150" s="7" t="n">
        <x:v>4</x:v>
      </x:c>
      <x:c r="J150" s="7" t="n">
        <x:v>4</x:v>
      </x:c>
      <x:c r="K150" s="7" t="n">
        <x:v>0</x:v>
      </x:c>
      <x:c r="L150" s="7" t="n">
        <x:v>0</x:v>
      </x:c>
      <x:c r="M150" s="7" t="n">
        <x:v>2</x:v>
      </x:c>
      <x:c r="N150" s="7" t="n">
        <x:v>0</x:v>
      </x:c>
      <x:c r="O150" s="7" t="n">
        <x:v>0</x:v>
      </x:c>
      <x:c r="P150" s="7" t="n">
        <x:v>0</x:v>
      </x:c>
      <x:c r="Q150" s="7" t="n">
        <x:v>3</x:v>
      </x:c>
      <x:c r="R150" s="6" t="str">
        <x:v>흐름 + 비늘 / 에이스 찌릿핀 / 성장 수단 확장 대비 상향안·실전 미검증</x:v>
      </x:c>
    </x:row>
    <x:row r="151" ht="15" hidden="0" customHeight="1">
      <x:c r="A151" s="7" t="n">
        <x:v>31106</x:v>
      </x:c>
      <x:c r="B151" s="7" t="n">
        <x:v>11</x:v>
      </x:c>
      <x:c r="C151" s="6" t="str">
        <x:v>GradeFinal</x:v>
      </x:c>
      <x:c r="D151" s="6" t="str">
        <x:v>deck_06</x:v>
      </x:c>
      <x:c r="E151" s="7" t="n">
        <x:v>4</x:v>
      </x:c>
      <x:c r="F151" s="7" t="n">
        <x:v>4</x:v>
      </x:c>
      <x:c r="G151" s="7" t="n">
        <x:v>4</x:v>
      </x:c>
      <x:c r="H151" s="7" t="n">
        <x:v>3</x:v>
      </x:c>
      <x:c r="I151" s="7" t="n">
        <x:v>4</x:v>
      </x:c>
      <x:c r="J151" s="7" t="n">
        <x:v>4</x:v>
      </x:c>
      <x:c r="K151" s="7" t="n">
        <x:v>0</x:v>
      </x:c>
      <x:c r="L151" s="7" t="n">
        <x:v>0</x:v>
      </x:c>
      <x:c r="M151" s="7" t="n">
        <x:v>2</x:v>
      </x:c>
      <x:c r="N151" s="7" t="n">
        <x:v>0</x:v>
      </x:c>
      <x:c r="O151" s="7" t="n">
        <x:v>0</x:v>
      </x:c>
      <x:c r="P151" s="7" t="n">
        <x:v>0</x:v>
      </x:c>
      <x:c r="Q151" s="7" t="n">
        <x:v>3</x:v>
      </x:c>
      <x:c r="R151" s="6" t="str">
        <x:v>흐름 + 덩치 / 에이스 찌릿핀 / 성장 수단 확장 대비 상향안·실전 미검증</x:v>
      </x:c>
    </x:row>
    <x:row r="152" ht="15" hidden="0" customHeight="1">
      <x:c r="A152" s="7" t="n">
        <x:v>31107</x:v>
      </x:c>
      <x:c r="B152" s="7" t="n">
        <x:v>11</x:v>
      </x:c>
      <x:c r="C152" s="6" t="str">
        <x:v>GradeFinal</x:v>
      </x:c>
      <x:c r="D152" s="6" t="str">
        <x:v>deck_07</x:v>
      </x:c>
      <x:c r="E152" s="7" t="n">
        <x:v>4</x:v>
      </x:c>
      <x:c r="F152" s="7" t="n">
        <x:v>4</x:v>
      </x:c>
      <x:c r="G152" s="7" t="n">
        <x:v>4</x:v>
      </x:c>
      <x:c r="H152" s="7" t="n">
        <x:v>4</x:v>
      </x:c>
      <x:c r="I152" s="7" t="n">
        <x:v>3</x:v>
      </x:c>
      <x:c r="J152" s="7" t="n">
        <x:v>4</x:v>
      </x:c>
      <x:c r="K152" s="7" t="n">
        <x:v>0</x:v>
      </x:c>
      <x:c r="L152" s="7" t="n">
        <x:v>0</x:v>
      </x:c>
      <x:c r="M152" s="7" t="n">
        <x:v>2</x:v>
      </x:c>
      <x:c r="N152" s="7" t="n">
        <x:v>0</x:v>
      </x:c>
      <x:c r="O152" s="7" t="n">
        <x:v>0</x:v>
      </x:c>
      <x:c r="P152" s="7" t="n">
        <x:v>0</x:v>
      </x:c>
      <x:c r="Q152" s="7" t="n">
        <x:v>3</x:v>
      </x:c>
      <x:c r="R152" s="6" t="str">
        <x:v>추적 + 덩치 / 에이스 꿈먹이 / 성장 수단 확장 대비 상향안·실전 미검증</x:v>
      </x:c>
    </x:row>
    <x:row r="153" ht="24" hidden="0" customHeight="1">
      <x:c r="A153" s="7" t="n">
        <x:v>31108</x:v>
      </x:c>
      <x:c r="B153" s="7" t="n">
        <x:v>11</x:v>
      </x:c>
      <x:c r="C153" s="6" t="str">
        <x:v>GradeFinal</x:v>
      </x:c>
      <x:c r="D153" s="6" t="str">
        <x:v>deck_08</x:v>
      </x:c>
      <x:c r="E153" s="7" t="n">
        <x:v>4</x:v>
      </x:c>
      <x:c r="F153" s="7" t="n">
        <x:v>3</x:v>
      </x:c>
      <x:c r="G153" s="7" t="n">
        <x:v>4</x:v>
      </x:c>
      <x:c r="H153" s="7" t="n">
        <x:v>4</x:v>
      </x:c>
      <x:c r="I153" s="7" t="n">
        <x:v>4</x:v>
      </x:c>
      <x:c r="J153" s="7" t="n">
        <x:v>4</x:v>
      </x:c>
      <x:c r="K153" s="7" t="n">
        <x:v>0</x:v>
      </x:c>
      <x:c r="L153" s="7" t="n">
        <x:v>0</x:v>
      </x:c>
      <x:c r="M153" s="7" t="n">
        <x:v>0</x:v>
      </x:c>
      <x:c r="N153" s="7" t="n">
        <x:v>0</x:v>
      </x:c>
      <x:c r="O153" s="7" t="n">
        <x:v>2</x:v>
      </x:c>
      <x:c r="P153" s="7" t="n">
        <x:v>0</x:v>
      </x:c>
      <x:c r="Q153" s="7" t="n">
        <x:v>5</x:v>
      </x:c>
      <x:c r="R153" s="6" t="str">
        <x:v>유산 돌격대 / 에이스 대장부리 / 성장 수단 확장 대비 상향안·실전 미검증</x:v>
      </x:c>
    </x:row>
    <x:row r="154" ht="24" hidden="0" customHeight="1">
      <x:c r="A154" s="7" t="n">
        <x:v>31501</x:v>
      </x:c>
      <x:c r="B154" s="7" t="n">
        <x:v>15</x:v>
      </x:c>
      <x:c r="C154" s="6" t="str">
        <x:v>GradeFinal</x:v>
      </x:c>
      <x:c r="D154" s="6" t="str">
        <x:v>deck_01</x:v>
      </x:c>
      <x:c r="E154" s="7" t="n">
        <x:v>4</x:v>
      </x:c>
      <x:c r="F154" s="7" t="n">
        <x:v>4</x:v>
      </x:c>
      <x:c r="G154" s="7" t="n">
        <x:v>4</x:v>
      </x:c>
      <x:c r="H154" s="7" t="n">
        <x:v>4</x:v>
      </x:c>
      <x:c r="I154" s="7" t="n">
        <x:v>4</x:v>
      </x:c>
      <x:c r="J154" s="7" t="n">
        <x:v>4</x:v>
      </x:c>
      <x:c r="K154" s="7" t="n">
        <x:v>0</x:v>
      </x:c>
      <x:c r="L154" s="7" t="n">
        <x:v>0</x:v>
      </x:c>
      <x:c r="M154" s="7" t="n">
        <x:v>3</x:v>
      </x:c>
      <x:c r="N154" s="7" t="n">
        <x:v>0</x:v>
      </x:c>
      <x:c r="O154" s="7" t="n">
        <x:v>0</x:v>
      </x:c>
      <x:c r="P154" s="7" t="n">
        <x:v>2</x:v>
      </x:c>
      <x:c r="Q154" s="7" t="n">
        <x:v>3</x:v>
      </x:c>
      <x:c r="R154" s="6" t="str">
        <x:v>낙인 + 포식자 / 에이스 얼음꼬미 / 성장 수단 확장 대비 상향안·실전 미검증</x:v>
      </x:c>
    </x:row>
    <x:row r="155" ht="24" hidden="0" customHeight="1">
      <x:c r="A155" s="7" t="n">
        <x:v>31502</x:v>
      </x:c>
      <x:c r="B155" s="7" t="n">
        <x:v>15</x:v>
      </x:c>
      <x:c r="C155" s="6" t="str">
        <x:v>GradeFinal</x:v>
      </x:c>
      <x:c r="D155" s="6" t="str">
        <x:v>deck_02</x:v>
      </x:c>
      <x:c r="E155" s="7" t="n">
        <x:v>4</x:v>
      </x:c>
      <x:c r="F155" s="7" t="n">
        <x:v>4</x:v>
      </x:c>
      <x:c r="G155" s="7" t="n">
        <x:v>4</x:v>
      </x:c>
      <x:c r="H155" s="7" t="n">
        <x:v>4</x:v>
      </x:c>
      <x:c r="I155" s="7" t="n">
        <x:v>4</x:v>
      </x:c>
      <x:c r="J155" s="7" t="n">
        <x:v>4</x:v>
      </x:c>
      <x:c r="K155" s="7" t="n">
        <x:v>0</x:v>
      </x:c>
      <x:c r="L155" s="7" t="n">
        <x:v>0</x:v>
      </x:c>
      <x:c r="M155" s="7" t="n">
        <x:v>3</x:v>
      </x:c>
      <x:c r="N155" s="7" t="n">
        <x:v>0</x:v>
      </x:c>
      <x:c r="O155" s="7" t="n">
        <x:v>2</x:v>
      </x:c>
      <x:c r="P155" s="7" t="n">
        <x:v>0</x:v>
      </x:c>
      <x:c r="Q155" s="7" t="n">
        <x:v>3</x:v>
      </x:c>
      <x:c r="R155" s="6" t="str">
        <x:v>낙인 + 비늘 / 에이스 얼음꼬미 / 성장 수단 확장 대비 상향안·실전 미검증</x:v>
      </x:c>
    </x:row>
    <x:row r="156" ht="24" hidden="0" customHeight="1">
      <x:c r="A156" s="7" t="n">
        <x:v>31503</x:v>
      </x:c>
      <x:c r="B156" s="7" t="n">
        <x:v>15</x:v>
      </x:c>
      <x:c r="C156" s="6" t="str">
        <x:v>GradeFinal</x:v>
      </x:c>
      <x:c r="D156" s="6" t="str">
        <x:v>deck_03</x:v>
      </x:c>
      <x:c r="E156" s="7" t="n">
        <x:v>4</x:v>
      </x:c>
      <x:c r="F156" s="7" t="n">
        <x:v>4</x:v>
      </x:c>
      <x:c r="G156" s="7" t="n">
        <x:v>4</x:v>
      </x:c>
      <x:c r="H156" s="7" t="n">
        <x:v>4</x:v>
      </x:c>
      <x:c r="I156" s="7" t="n">
        <x:v>4</x:v>
      </x:c>
      <x:c r="J156" s="7" t="n">
        <x:v>4</x:v>
      </x:c>
      <x:c r="K156" s="7" t="n">
        <x:v>0</x:v>
      </x:c>
      <x:c r="L156" s="7" t="n">
        <x:v>2</x:v>
      </x:c>
      <x:c r="M156" s="7" t="n">
        <x:v>0</x:v>
      </x:c>
      <x:c r="N156" s="7" t="n">
        <x:v>0</x:v>
      </x:c>
      <x:c r="O156" s="7" t="n">
        <x:v>0</x:v>
      </x:c>
      <x:c r="P156" s="7" t="n">
        <x:v>3</x:v>
      </x:c>
      <x:c r="Q156" s="7" t="n">
        <x:v>6</x:v>
      </x:c>
      <x:c r="R156" s="6" t="str">
        <x:v>돌보미 + 유산 / 에이스 대장부리 / 성장 수단 확장 대비 상향안·실전 미검증</x:v>
      </x:c>
    </x:row>
    <x:row r="157" ht="24" hidden="0" customHeight="1">
      <x:c r="A157" s="7" t="n">
        <x:v>31504</x:v>
      </x:c>
      <x:c r="B157" s="7" t="n">
        <x:v>15</x:v>
      </x:c>
      <x:c r="C157" s="6" t="str">
        <x:v>GradeFinal</x:v>
      </x:c>
      <x:c r="D157" s="6" t="str">
        <x:v>deck_04</x:v>
      </x:c>
      <x:c r="E157" s="7" t="n">
        <x:v>4</x:v>
      </x:c>
      <x:c r="F157" s="7" t="n">
        <x:v>4</x:v>
      </x:c>
      <x:c r="G157" s="7" t="n">
        <x:v>4</x:v>
      </x:c>
      <x:c r="H157" s="7" t="n">
        <x:v>4</x:v>
      </x:c>
      <x:c r="I157" s="7" t="n">
        <x:v>4</x:v>
      </x:c>
      <x:c r="J157" s="7" t="n">
        <x:v>4</x:v>
      </x:c>
      <x:c r="K157" s="7" t="n">
        <x:v>0</x:v>
      </x:c>
      <x:c r="L157" s="7" t="n">
        <x:v>2</x:v>
      </x:c>
      <x:c r="M157" s="7" t="n">
        <x:v>0</x:v>
      </x:c>
      <x:c r="N157" s="7" t="n">
        <x:v>0</x:v>
      </x:c>
      <x:c r="O157" s="7" t="n">
        <x:v>0</x:v>
      </x:c>
      <x:c r="P157" s="7" t="n">
        <x:v>3</x:v>
      </x:c>
      <x:c r="Q157" s="7" t="n">
        <x:v>6</x:v>
      </x:c>
      <x:c r="R157" s="6" t="str">
        <x:v>돌보미 + 덩치 / 에이스 크랙몬 / 성장 수단 확장 대비 상향안·실전 미검증</x:v>
      </x:c>
    </x:row>
    <x:row r="158" ht="15" hidden="0" customHeight="1">
      <x:c r="A158" s="7" t="n">
        <x:v>31505</x:v>
      </x:c>
      <x:c r="B158" s="7" t="n">
        <x:v>15</x:v>
      </x:c>
      <x:c r="C158" s="6" t="str">
        <x:v>GradeFinal</x:v>
      </x:c>
      <x:c r="D158" s="6" t="str">
        <x:v>deck_05</x:v>
      </x:c>
      <x:c r="E158" s="7" t="n">
        <x:v>4</x:v>
      </x:c>
      <x:c r="F158" s="7" t="n">
        <x:v>4</x:v>
      </x:c>
      <x:c r="G158" s="7" t="n">
        <x:v>4</x:v>
      </x:c>
      <x:c r="H158" s="7" t="n">
        <x:v>4</x:v>
      </x:c>
      <x:c r="I158" s="7" t="n">
        <x:v>4</x:v>
      </x:c>
      <x:c r="J158" s="7" t="n">
        <x:v>4</x:v>
      </x:c>
      <x:c r="K158" s="7" t="n">
        <x:v>0</x:v>
      </x:c>
      <x:c r="L158" s="7" t="n">
        <x:v>0</x:v>
      </x:c>
      <x:c r="M158" s="7" t="n">
        <x:v>3</x:v>
      </x:c>
      <x:c r="N158" s="7" t="n">
        <x:v>0</x:v>
      </x:c>
      <x:c r="O158" s="7" t="n">
        <x:v>2</x:v>
      </x:c>
      <x:c r="P158" s="7" t="n">
        <x:v>0</x:v>
      </x:c>
      <x:c r="Q158" s="7" t="n">
        <x:v>3</x:v>
      </x:c>
      <x:c r="R158" s="6" t="str">
        <x:v>흐름 + 비늘 / 에이스 찌릿핀 / 성장 수단 확장 대비 상향안·실전 미검증</x:v>
      </x:c>
    </x:row>
    <x:row r="159" ht="15" hidden="0" customHeight="1">
      <x:c r="A159" s="7" t="n">
        <x:v>31506</x:v>
      </x:c>
      <x:c r="B159" s="7" t="n">
        <x:v>15</x:v>
      </x:c>
      <x:c r="C159" s="6" t="str">
        <x:v>GradeFinal</x:v>
      </x:c>
      <x:c r="D159" s="6" t="str">
        <x:v>deck_06</x:v>
      </x:c>
      <x:c r="E159" s="7" t="n">
        <x:v>4</x:v>
      </x:c>
      <x:c r="F159" s="7" t="n">
        <x:v>4</x:v>
      </x:c>
      <x:c r="G159" s="7" t="n">
        <x:v>4</x:v>
      </x:c>
      <x:c r="H159" s="7" t="n">
        <x:v>4</x:v>
      </x:c>
      <x:c r="I159" s="7" t="n">
        <x:v>4</x:v>
      </x:c>
      <x:c r="J159" s="7" t="n">
        <x:v>4</x:v>
      </x:c>
      <x:c r="K159" s="7" t="n">
        <x:v>0</x:v>
      </x:c>
      <x:c r="L159" s="7" t="n">
        <x:v>0</x:v>
      </x:c>
      <x:c r="M159" s="7" t="n">
        <x:v>3</x:v>
      </x:c>
      <x:c r="N159" s="7" t="n">
        <x:v>0</x:v>
      </x:c>
      <x:c r="O159" s="7" t="n">
        <x:v>0</x:v>
      </x:c>
      <x:c r="P159" s="7" t="n">
        <x:v>2</x:v>
      </x:c>
      <x:c r="Q159" s="7" t="n">
        <x:v>3</x:v>
      </x:c>
      <x:c r="R159" s="6" t="str">
        <x:v>흐름 + 덩치 / 에이스 찌릿핀 / 성장 수단 확장 대비 상향안·실전 미검증</x:v>
      </x:c>
    </x:row>
    <x:row r="160" ht="15" hidden="0" customHeight="1">
      <x:c r="A160" s="7" t="n">
        <x:v>31507</x:v>
      </x:c>
      <x:c r="B160" s="7" t="n">
        <x:v>15</x:v>
      </x:c>
      <x:c r="C160" s="6" t="str">
        <x:v>GradeFinal</x:v>
      </x:c>
      <x:c r="D160" s="6" t="str">
        <x:v>deck_07</x:v>
      </x:c>
      <x:c r="E160" s="7" t="n">
        <x:v>4</x:v>
      </x:c>
      <x:c r="F160" s="7" t="n">
        <x:v>4</x:v>
      </x:c>
      <x:c r="G160" s="7" t="n">
        <x:v>4</x:v>
      </x:c>
      <x:c r="H160" s="7" t="n">
        <x:v>4</x:v>
      </x:c>
      <x:c r="I160" s="7" t="n">
        <x:v>4</x:v>
      </x:c>
      <x:c r="J160" s="7" t="n">
        <x:v>4</x:v>
      </x:c>
      <x:c r="K160" s="7" t="n">
        <x:v>0</x:v>
      </x:c>
      <x:c r="L160" s="7" t="n">
        <x:v>2</x:v>
      </x:c>
      <x:c r="M160" s="7" t="n">
        <x:v>3</x:v>
      </x:c>
      <x:c r="N160" s="7" t="n">
        <x:v>0</x:v>
      </x:c>
      <x:c r="O160" s="7" t="n">
        <x:v>0</x:v>
      </x:c>
      <x:c r="P160" s="7" t="n">
        <x:v>0</x:v>
      </x:c>
      <x:c r="Q160" s="7" t="n">
        <x:v>3</x:v>
      </x:c>
      <x:c r="R160" s="6" t="str">
        <x:v>추적 + 덩치 / 에이스 꿈먹이 / 성장 수단 확장 대비 상향안·실전 미검증</x:v>
      </x:c>
    </x:row>
    <x:row r="161" ht="24" hidden="0" customHeight="1">
      <x:c r="A161" s="7" t="n">
        <x:v>31508</x:v>
      </x:c>
      <x:c r="B161" s="7" t="n">
        <x:v>15</x:v>
      </x:c>
      <x:c r="C161" s="6" t="str">
        <x:v>GradeFinal</x:v>
      </x:c>
      <x:c r="D161" s="6" t="str">
        <x:v>deck_08</x:v>
      </x:c>
      <x:c r="E161" s="7" t="n">
        <x:v>4</x:v>
      </x:c>
      <x:c r="F161" s="7" t="n">
        <x:v>4</x:v>
      </x:c>
      <x:c r="G161" s="7" t="n">
        <x:v>4</x:v>
      </x:c>
      <x:c r="H161" s="7" t="n">
        <x:v>4</x:v>
      </x:c>
      <x:c r="I161" s="7" t="n">
        <x:v>4</x:v>
      </x:c>
      <x:c r="J161" s="7" t="n">
        <x:v>4</x:v>
      </x:c>
      <x:c r="K161" s="7" t="n">
        <x:v>0</x:v>
      </x:c>
      <x:c r="L161" s="7" t="n">
        <x:v>0</x:v>
      </x:c>
      <x:c r="M161" s="7" t="n">
        <x:v>0</x:v>
      </x:c>
      <x:c r="N161" s="7" t="n">
        <x:v>0</x:v>
      </x:c>
      <x:c r="O161" s="7" t="n">
        <x:v>3</x:v>
      </x:c>
      <x:c r="P161" s="7" t="n">
        <x:v>2</x:v>
      </x:c>
      <x:c r="Q161" s="7" t="n">
        <x:v>5</x:v>
      </x:c>
      <x:c r="R161" s="6" t="str">
        <x:v>유산 돌격대 / 에이스 대장부리 / 성장 수단 확장 대비 상향안·실전 미검증</x:v>
      </x:c>
    </x:row>
    <x:row r="164">
      <x:c r="A164" t="str">
        <x:v>출처: docs/SpecData/RankAiEncounter_sheet.csv / 2026-09-18 로컬 스냅샷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44" customHeight="1">
      <x:c r="A1" s="5" t="str">
        <x:v>id</x:v>
      </x:c>
      <x:c r="B1" s="5" t="str">
        <x:v>gradeKey</x:v>
      </x:c>
      <x:c r="C1" s="5" t="str">
        <x:v>displayName</x:v>
      </x:c>
      <x:c r="D1" s="5" t="str">
        <x:v>entryPoints</x:v>
      </x:c>
      <x:c r="E1" s="5" t="str">
        <x:v>pointsPerDivision</x:v>
      </x:c>
      <x:c r="F1" s="5" t="str">
        <x:v>winPoints</x:v>
      </x:c>
      <x:c r="G1" s="5" t="str">
        <x:v>losePoints</x:v>
      </x:c>
    </x:row>
    <x:row r="2" ht="15" hidden="0" customHeight="1">
      <x:c r="A2" s="7" t="n">
        <x:v>1</x:v>
      </x:c>
      <x:c r="B2" s="6" t="str">
        <x:v>Bronze</x:v>
      </x:c>
      <x:c r="C2" s="6" t="str">
        <x:v>Bronze</x:v>
      </x:c>
      <x:c r="D2" s="7" t="n">
        <x:v>100</x:v>
      </x:c>
      <x:c r="E2" s="7" t="n">
        <x:v>40</x:v>
      </x:c>
      <x:c r="F2" s="7" t="n">
        <x:v>10</x:v>
      </x:c>
      <x:c r="G2" s="7" t="n">
        <x:v>10</x:v>
      </x:c>
    </x:row>
    <x:row r="3" ht="15" hidden="0" customHeight="1">
      <x:c r="A3" s="7" t="n">
        <x:v>2</x:v>
      </x:c>
      <x:c r="B3" s="6" t="str">
        <x:v>Silver</x:v>
      </x:c>
      <x:c r="C3" s="6" t="str">
        <x:v>Silver</x:v>
      </x:c>
      <x:c r="D3" s="7" t="n">
        <x:v>260</x:v>
      </x:c>
      <x:c r="E3" s="7" t="n">
        <x:v>40</x:v>
      </x:c>
      <x:c r="F3" s="7" t="n">
        <x:v>10</x:v>
      </x:c>
      <x:c r="G3" s="7" t="n">
        <x:v>10</x:v>
      </x:c>
    </x:row>
    <x:row r="4" ht="15" hidden="0" customHeight="1">
      <x:c r="A4" s="7" t="n">
        <x:v>3</x:v>
      </x:c>
      <x:c r="B4" s="6" t="str">
        <x:v>Gold</x:v>
      </x:c>
      <x:c r="C4" s="6" t="str">
        <x:v>Gold</x:v>
      </x:c>
      <x:c r="D4" s="7" t="n">
        <x:v>420</x:v>
      </x:c>
      <x:c r="E4" s="7" t="n">
        <x:v>40</x:v>
      </x:c>
      <x:c r="F4" s="7" t="n">
        <x:v>10</x:v>
      </x:c>
      <x:c r="G4" s="7" t="n">
        <x:v>10</x:v>
      </x:c>
    </x:row>
    <x:row r="5" ht="15" hidden="0" customHeight="1">
      <x:c r="A5" s="7" t="n">
        <x:v>4</x:v>
      </x:c>
      <x:c r="B5" s="6" t="str">
        <x:v>Platinum</x:v>
      </x:c>
      <x:c r="C5" s="6" t="str">
        <x:v>Platinum</x:v>
      </x:c>
      <x:c r="D5" s="7" t="n">
        <x:v>580</x:v>
      </x:c>
      <x:c r="E5" s="7" t="n">
        <x:v>40</x:v>
      </x:c>
      <x:c r="F5" s="7" t="n">
        <x:v>10</x:v>
      </x:c>
      <x:c r="G5" s="7" t="n">
        <x:v>10</x:v>
      </x:c>
    </x:row>
    <x:row r="6" ht="15" hidden="0" customHeight="1">
      <x:c r="A6" s="7" t="n">
        <x:v>5</x:v>
      </x:c>
      <x:c r="B6" s="6" t="str">
        <x:v>Diamond</x:v>
      </x:c>
      <x:c r="C6" s="6" t="str">
        <x:v>Diamond</x:v>
      </x:c>
      <x:c r="D6" s="7" t="n">
        <x:v>740</x:v>
      </x:c>
      <x:c r="E6" s="7" t="n">
        <x:v>40</x:v>
      </x:c>
      <x:c r="F6" s="7" t="n">
        <x:v>10</x:v>
      </x:c>
      <x:c r="G6" s="7" t="n">
        <x:v>10</x:v>
      </x:c>
    </x:row>
    <x:row r="9">
      <x:c r="A9" t="str">
        <x:v>출처: docs/SpecData/RankGrade_sheet.csv / 2026-09-18 로컬 스냅샷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26" hidden="0" customWidth="1"/>
    <x:col min="4" max="4" width="15" hidden="0" customWidth="1"/>
    <x:col min="5" max="5" width="15" hidden="0" customWidth="1"/>
    <x:col min="6" max="6" width="26" hidden="0" customWidth="1"/>
    <x:col min="7" max="7" width="15" hidden="0" customWidth="1"/>
    <x:col min="8" max="8" width="52" hidden="0" customWidth="1"/>
  </x:cols>
  <x:sheetData>
    <x:row r="1" ht="44" customHeight="1">
      <x:c r="A1" s="5" t="str">
        <x:v>id</x:v>
      </x:c>
      <x:c r="B1" s="5" t="str">
        <x:v>ownerType</x:v>
      </x:c>
      <x:c r="C1" s="5" t="str">
        <x:v>ownerId</x:v>
      </x:c>
      <x:c r="D1" s="5" t="str">
        <x:v>order</x:v>
      </x:c>
      <x:c r="E1" s="5" t="str">
        <x:v>rewardType</x:v>
      </x:c>
      <x:c r="F1" s="5" t="str">
        <x:v>rewardId</x:v>
      </x:c>
      <x:c r="G1" s="5" t="str">
        <x:v>amount</x:v>
      </x:c>
      <x:c r="H1" s="5" t="str">
        <x:v>#memo</x:v>
      </x:c>
    </x:row>
    <x:row r="2" ht="15" hidden="0" customHeight="1">
      <x:c r="A2" s="7" t="n">
        <x:v>1</x:v>
      </x:c>
      <x:c r="B2" s="6" t="str">
        <x:v>Album</x:v>
      </x:c>
      <x:c r="C2" s="6" t="str">
        <x:v>t:Theme_Nature</x:v>
      </x:c>
      <x:c r="D2" s="7" t="n">
        <x:v>1</x:v>
      </x:c>
      <x:c r="E2" s="6" t="str">
        <x:v>Currency</x:v>
      </x:c>
      <x:c r="F2" s="6" t="str">
        <x:v>Diamond</x:v>
      </x:c>
      <x:c r="G2" s="7" t="n">
        <x:v>20</x:v>
      </x:c>
      <x:c r="H2" s="6" t="str">
        <x:v>자연 테마 완성</x:v>
      </x:c>
    </x:row>
    <x:row r="3" ht="15" hidden="0" customHeight="1">
      <x:c r="A3" s="7" t="n">
        <x:v>2</x:v>
      </x:c>
      <x:c r="B3" s="6" t="str">
        <x:v>Album</x:v>
      </x:c>
      <x:c r="C3" s="6" t="str">
        <x:v>t:Theme_Nature</x:v>
      </x:c>
      <x:c r="D3" s="7" t="n">
        <x:v>2</x:v>
      </x:c>
      <x:c r="E3" s="6" t="str">
        <x:v>Currency</x:v>
      </x:c>
      <x:c r="F3" s="6" t="str">
        <x:v>Shard</x:v>
      </x:c>
      <x:c r="G3" s="7" t="n">
        <x:v>150</x:v>
      </x:c>
      <x:c r="H3" s="6" t="str">
        <x:v>자연 테마 완성</x:v>
      </x:c>
    </x:row>
    <x:row r="4" ht="15" hidden="0" customHeight="1">
      <x:c r="A4" s="7" t="n">
        <x:v>7</x:v>
      </x:c>
      <x:c r="B4" s="6" t="str">
        <x:v>Album</x:v>
      </x:c>
      <x:c r="C4" s="6" t="str">
        <x:v>b</x:v>
      </x:c>
      <x:c r="D4" s="7" t="n">
        <x:v>1</x:v>
      </x:c>
      <x:c r="E4" s="6" t="str">
        <x:v>Currency</x:v>
      </x:c>
      <x:c r="F4" s="6" t="str">
        <x:v>Gold</x:v>
      </x:c>
      <x:c r="G4" s="7" t="n">
        <x:v>1500</x:v>
      </x:c>
      <x:c r="H4" s="6" t="str">
        <x:v>앨범 전체 완성</x:v>
      </x:c>
    </x:row>
    <x:row r="5" ht="15" hidden="0" customHeight="1">
      <x:c r="A5" s="7" t="n">
        <x:v>8</x:v>
      </x:c>
      <x:c r="B5" s="6" t="str">
        <x:v>Album</x:v>
      </x:c>
      <x:c r="C5" s="6" t="str">
        <x:v>b</x:v>
      </x:c>
      <x:c r="D5" s="7" t="n">
        <x:v>2</x:v>
      </x:c>
      <x:c r="E5" s="6" t="str">
        <x:v>Currency</x:v>
      </x:c>
      <x:c r="F5" s="6" t="str">
        <x:v>Diamond</x:v>
      </x:c>
      <x:c r="G5" s="7" t="n">
        <x:v>30</x:v>
      </x:c>
      <x:c r="H5" s="6" t="str">
        <x:v>앨범 전체 완성</x:v>
      </x:c>
    </x:row>
    <x:row r="6" ht="15" hidden="0" customHeight="1">
      <x:c r="A6" s="7" t="n">
        <x:v>9</x:v>
      </x:c>
      <x:c r="B6" s="6" t="str">
        <x:v>Album</x:v>
      </x:c>
      <x:c r="C6" s="6" t="str">
        <x:v>b</x:v>
      </x:c>
      <x:c r="D6" s="7" t="n">
        <x:v>3</x:v>
      </x:c>
      <x:c r="E6" s="6" t="str">
        <x:v>Currency</x:v>
      </x:c>
      <x:c r="F6" s="6" t="str">
        <x:v>Shard</x:v>
      </x:c>
      <x:c r="G6" s="7" t="n">
        <x:v>300</x:v>
      </x:c>
      <x:c r="H6" s="6" t="str">
        <x:v>앨범 전체 완성</x:v>
      </x:c>
    </x:row>
    <x:row r="7" ht="15" hidden="0" customHeight="1">
      <x:c r="A7" s="7" t="n">
        <x:v>10</x:v>
      </x:c>
      <x:c r="B7" s="6" t="str">
        <x:v>Adventure</x:v>
      </x:c>
      <x:c r="C7" s="6" t="str">
        <x:v>node_01</x:v>
      </x:c>
      <x:c r="D7" s="7" t="n">
        <x:v>1</x:v>
      </x:c>
      <x:c r="E7" s="6" t="str">
        <x:v>Currency</x:v>
      </x:c>
      <x:c r="F7" s="6" t="str">
        <x:v>Gold</x:v>
      </x:c>
      <x:c r="G7" s="7" t="n">
        <x:v>80</x:v>
      </x:c>
      <x:c r="H7" s="6" t="str"/>
    </x:row>
    <x:row r="8" ht="15" hidden="0" customHeight="1">
      <x:c r="A8" s="7" t="n">
        <x:v>11</x:v>
      </x:c>
      <x:c r="B8" s="6" t="str">
        <x:v>Adventure</x:v>
      </x:c>
      <x:c r="C8" s="6" t="str">
        <x:v>node_02</x:v>
      </x:c>
      <x:c r="D8" s="7" t="n">
        <x:v>1</x:v>
      </x:c>
      <x:c r="E8" s="6" t="str">
        <x:v>Currency</x:v>
      </x:c>
      <x:c r="F8" s="6" t="str">
        <x:v>Shard</x:v>
      </x:c>
      <x:c r="G8" s="7" t="n">
        <x:v>20</x:v>
      </x:c>
      <x:c r="H8" s="6" t="str"/>
    </x:row>
    <x:row r="9" ht="15" hidden="0" customHeight="1">
      <x:c r="A9" s="7" t="n">
        <x:v>13</x:v>
      </x:c>
      <x:c r="B9" s="6" t="str">
        <x:v>Adventure</x:v>
      </x:c>
      <x:c r="C9" s="6" t="str">
        <x:v>node_04</x:v>
      </x:c>
      <x:c r="D9" s="7" t="n">
        <x:v>1</x:v>
      </x:c>
      <x:c r="E9" s="6" t="str">
        <x:v>Currency</x:v>
      </x:c>
      <x:c r="F9" s="6" t="str">
        <x:v>Gold</x:v>
      </x:c>
      <x:c r="G9" s="7" t="n">
        <x:v>80</x:v>
      </x:c>
      <x:c r="H9" s="6" t="str"/>
    </x:row>
    <x:row r="10" ht="15" hidden="0" customHeight="1">
      <x:c r="A10" s="7" t="n">
        <x:v>14</x:v>
      </x:c>
      <x:c r="B10" s="6" t="str">
        <x:v>Adventure</x:v>
      </x:c>
      <x:c r="C10" s="6" t="str">
        <x:v>node_05</x:v>
      </x:c>
      <x:c r="D10" s="7" t="n">
        <x:v>1</x:v>
      </x:c>
      <x:c r="E10" s="6" t="str">
        <x:v>Currency</x:v>
      </x:c>
      <x:c r="F10" s="6" t="str">
        <x:v>Shard</x:v>
      </x:c>
      <x:c r="G10" s="7" t="n">
        <x:v>40</x:v>
      </x:c>
      <x:c r="H10" s="6" t="str"/>
    </x:row>
    <x:row r="11" ht="15" hidden="0" customHeight="1">
      <x:c r="A11" s="7" t="n">
        <x:v>16</x:v>
      </x:c>
      <x:c r="B11" s="6" t="str">
        <x:v>Adventure</x:v>
      </x:c>
      <x:c r="C11" s="6" t="str">
        <x:v>chapter_01</x:v>
      </x:c>
      <x:c r="D11" s="7" t="n">
        <x:v>1</x:v>
      </x:c>
      <x:c r="E11" s="6" t="str">
        <x:v>Currency</x:v>
      </x:c>
      <x:c r="F11" s="6" t="str">
        <x:v>Gold</x:v>
      </x:c>
      <x:c r="G11" s="7" t="n">
        <x:v>80</x:v>
      </x:c>
      <x:c r="H11" s="6" t="str"/>
    </x:row>
    <x:row r="12" ht="15" hidden="0" customHeight="1">
      <x:c r="A12" s="7" t="n">
        <x:v>18</x:v>
      </x:c>
      <x:c r="B12" s="6" t="str">
        <x:v>Adventure</x:v>
      </x:c>
      <x:c r="C12" s="6" t="str">
        <x:v>node_07</x:v>
      </x:c>
      <x:c r="D12" s="7" t="n">
        <x:v>1</x:v>
      </x:c>
      <x:c r="E12" s="6" t="str">
        <x:v>Currency</x:v>
      </x:c>
      <x:c r="F12" s="6" t="str">
        <x:v>Gold</x:v>
      </x:c>
      <x:c r="G12" s="7" t="n">
        <x:v>110</x:v>
      </x:c>
      <x:c r="H12" s="6" t="str"/>
    </x:row>
    <x:row r="13" ht="15" hidden="0" customHeight="1">
      <x:c r="A13" s="7" t="n">
        <x:v>19</x:v>
      </x:c>
      <x:c r="B13" s="6" t="str">
        <x:v>Adventure</x:v>
      </x:c>
      <x:c r="C13" s="6" t="str">
        <x:v>node_08</x:v>
      </x:c>
      <x:c r="D13" s="7" t="n">
        <x:v>1</x:v>
      </x:c>
      <x:c r="E13" s="6" t="str">
        <x:v>Currency</x:v>
      </x:c>
      <x:c r="F13" s="6" t="str">
        <x:v>Shard</x:v>
      </x:c>
      <x:c r="G13" s="7" t="n">
        <x:v>30</x:v>
      </x:c>
      <x:c r="H13" s="6" t="str"/>
    </x:row>
    <x:row r="14" ht="15" hidden="0" customHeight="1">
      <x:c r="A14" s="7" t="n">
        <x:v>21</x:v>
      </x:c>
      <x:c r="B14" s="6" t="str">
        <x:v>Adventure</x:v>
      </x:c>
      <x:c r="C14" s="6" t="str">
        <x:v>node_10</x:v>
      </x:c>
      <x:c r="D14" s="7" t="n">
        <x:v>1</x:v>
      </x:c>
      <x:c r="E14" s="6" t="str">
        <x:v>Currency</x:v>
      </x:c>
      <x:c r="F14" s="6" t="str">
        <x:v>Gold</x:v>
      </x:c>
      <x:c r="G14" s="7" t="n">
        <x:v>110</x:v>
      </x:c>
      <x:c r="H14" s="6" t="str"/>
    </x:row>
    <x:row r="15" ht="15" hidden="0" customHeight="1">
      <x:c r="A15" s="7" t="n">
        <x:v>22</x:v>
      </x:c>
      <x:c r="B15" s="6" t="str">
        <x:v>Adventure</x:v>
      </x:c>
      <x:c r="C15" s="6" t="str">
        <x:v>node_11</x:v>
      </x:c>
      <x:c r="D15" s="7" t="n">
        <x:v>1</x:v>
      </x:c>
      <x:c r="E15" s="6" t="str">
        <x:v>Currency</x:v>
      </x:c>
      <x:c r="F15" s="6" t="str">
        <x:v>Shard</x:v>
      </x:c>
      <x:c r="G15" s="7" t="n">
        <x:v>50</x:v>
      </x:c>
      <x:c r="H15" s="6" t="str"/>
    </x:row>
    <x:row r="16" ht="15" hidden="0" customHeight="1">
      <x:c r="A16" s="7" t="n">
        <x:v>24</x:v>
      </x:c>
      <x:c r="B16" s="6" t="str">
        <x:v>Adventure</x:v>
      </x:c>
      <x:c r="C16" s="6" t="str">
        <x:v>chapter_02</x:v>
      </x:c>
      <x:c r="D16" s="7" t="n">
        <x:v>1</x:v>
      </x:c>
      <x:c r="E16" s="6" t="str">
        <x:v>Currency</x:v>
      </x:c>
      <x:c r="F16" s="6" t="str">
        <x:v>Gold</x:v>
      </x:c>
      <x:c r="G16" s="7" t="n">
        <x:v>110</x:v>
      </x:c>
      <x:c r="H16" s="6" t="str"/>
    </x:row>
    <x:row r="17" ht="15" hidden="0" customHeight="1">
      <x:c r="A17" s="7" t="n">
        <x:v>26</x:v>
      </x:c>
      <x:c r="B17" s="6" t="str">
        <x:v>Adventure</x:v>
      </x:c>
      <x:c r="C17" s="6" t="str">
        <x:v>node_13</x:v>
      </x:c>
      <x:c r="D17" s="7" t="n">
        <x:v>1</x:v>
      </x:c>
      <x:c r="E17" s="6" t="str">
        <x:v>Currency</x:v>
      </x:c>
      <x:c r="F17" s="6" t="str">
        <x:v>Gold</x:v>
      </x:c>
      <x:c r="G17" s="7" t="n">
        <x:v>140</x:v>
      </x:c>
      <x:c r="H17" s="6" t="str"/>
    </x:row>
    <x:row r="18" ht="15" hidden="0" customHeight="1">
      <x:c r="A18" s="7" t="n">
        <x:v>27</x:v>
      </x:c>
      <x:c r="B18" s="6" t="str">
        <x:v>Adventure</x:v>
      </x:c>
      <x:c r="C18" s="6" t="str">
        <x:v>node_14</x:v>
      </x:c>
      <x:c r="D18" s="7" t="n">
        <x:v>1</x:v>
      </x:c>
      <x:c r="E18" s="6" t="str">
        <x:v>Currency</x:v>
      </x:c>
      <x:c r="F18" s="6" t="str">
        <x:v>Shard</x:v>
      </x:c>
      <x:c r="G18" s="7" t="n">
        <x:v>40</x:v>
      </x:c>
      <x:c r="H18" s="6" t="str"/>
    </x:row>
    <x:row r="19" ht="15" hidden="0" customHeight="1">
      <x:c r="A19" s="7" t="n">
        <x:v>29</x:v>
      </x:c>
      <x:c r="B19" s="6" t="str">
        <x:v>Adventure</x:v>
      </x:c>
      <x:c r="C19" s="6" t="str">
        <x:v>node_16</x:v>
      </x:c>
      <x:c r="D19" s="7" t="n">
        <x:v>1</x:v>
      </x:c>
      <x:c r="E19" s="6" t="str">
        <x:v>Currency</x:v>
      </x:c>
      <x:c r="F19" s="6" t="str">
        <x:v>Gold</x:v>
      </x:c>
      <x:c r="G19" s="7" t="n">
        <x:v>140</x:v>
      </x:c>
      <x:c r="H19" s="6" t="str"/>
    </x:row>
    <x:row r="20" ht="15" hidden="0" customHeight="1">
      <x:c r="A20" s="7" t="n">
        <x:v>30</x:v>
      </x:c>
      <x:c r="B20" s="6" t="str">
        <x:v>Adventure</x:v>
      </x:c>
      <x:c r="C20" s="6" t="str">
        <x:v>node_17</x:v>
      </x:c>
      <x:c r="D20" s="7" t="n">
        <x:v>1</x:v>
      </x:c>
      <x:c r="E20" s="6" t="str">
        <x:v>Currency</x:v>
      </x:c>
      <x:c r="F20" s="6" t="str">
        <x:v>Shard</x:v>
      </x:c>
      <x:c r="G20" s="7" t="n">
        <x:v>60</x:v>
      </x:c>
      <x:c r="H20" s="6" t="str"/>
    </x:row>
    <x:row r="21" ht="15" hidden="0" customHeight="1">
      <x:c r="A21" s="7" t="n">
        <x:v>32</x:v>
      </x:c>
      <x:c r="B21" s="6" t="str">
        <x:v>Adventure</x:v>
      </x:c>
      <x:c r="C21" s="6" t="str">
        <x:v>chapter_03</x:v>
      </x:c>
      <x:c r="D21" s="7" t="n">
        <x:v>1</x:v>
      </x:c>
      <x:c r="E21" s="6" t="str">
        <x:v>Currency</x:v>
      </x:c>
      <x:c r="F21" s="6" t="str">
        <x:v>Gold</x:v>
      </x:c>
      <x:c r="G21" s="7" t="n">
        <x:v>140</x:v>
      </x:c>
      <x:c r="H21" s="6" t="str"/>
    </x:row>
    <x:row r="22" ht="15" hidden="0" customHeight="1">
      <x:c r="A22" s="7" t="n">
        <x:v>34</x:v>
      </x:c>
      <x:c r="B22" s="6" t="str">
        <x:v>Adventure</x:v>
      </x:c>
      <x:c r="C22" s="6" t="str">
        <x:v>node_19</x:v>
      </x:c>
      <x:c r="D22" s="7" t="n">
        <x:v>1</x:v>
      </x:c>
      <x:c r="E22" s="6" t="str">
        <x:v>Currency</x:v>
      </x:c>
      <x:c r="F22" s="6" t="str">
        <x:v>Gold</x:v>
      </x:c>
      <x:c r="G22" s="7" t="n">
        <x:v>170</x:v>
      </x:c>
      <x:c r="H22" s="6" t="str"/>
    </x:row>
    <x:row r="23" ht="15" hidden="0" customHeight="1">
      <x:c r="A23" s="7" t="n">
        <x:v>35</x:v>
      </x:c>
      <x:c r="B23" s="6" t="str">
        <x:v>Adventure</x:v>
      </x:c>
      <x:c r="C23" s="6" t="str">
        <x:v>node_20</x:v>
      </x:c>
      <x:c r="D23" s="7" t="n">
        <x:v>1</x:v>
      </x:c>
      <x:c r="E23" s="6" t="str">
        <x:v>Currency</x:v>
      </x:c>
      <x:c r="F23" s="6" t="str">
        <x:v>Shard</x:v>
      </x:c>
      <x:c r="G23" s="7" t="n">
        <x:v>50</x:v>
      </x:c>
      <x:c r="H23" s="6" t="str"/>
    </x:row>
    <x:row r="24" ht="15" hidden="0" customHeight="1">
      <x:c r="A24" s="7" t="n">
        <x:v>37</x:v>
      </x:c>
      <x:c r="B24" s="6" t="str">
        <x:v>Adventure</x:v>
      </x:c>
      <x:c r="C24" s="6" t="str">
        <x:v>node_22</x:v>
      </x:c>
      <x:c r="D24" s="7" t="n">
        <x:v>1</x:v>
      </x:c>
      <x:c r="E24" s="6" t="str">
        <x:v>Currency</x:v>
      </x:c>
      <x:c r="F24" s="6" t="str">
        <x:v>Gold</x:v>
      </x:c>
      <x:c r="G24" s="7" t="n">
        <x:v>170</x:v>
      </x:c>
      <x:c r="H24" s="6" t="str"/>
    </x:row>
    <x:row r="25" ht="15" hidden="0" customHeight="1">
      <x:c r="A25" s="7" t="n">
        <x:v>38</x:v>
      </x:c>
      <x:c r="B25" s="6" t="str">
        <x:v>Adventure</x:v>
      </x:c>
      <x:c r="C25" s="6" t="str">
        <x:v>node_23</x:v>
      </x:c>
      <x:c r="D25" s="7" t="n">
        <x:v>1</x:v>
      </x:c>
      <x:c r="E25" s="6" t="str">
        <x:v>Currency</x:v>
      </x:c>
      <x:c r="F25" s="6" t="str">
        <x:v>Shard</x:v>
      </x:c>
      <x:c r="G25" s="7" t="n">
        <x:v>70</x:v>
      </x:c>
      <x:c r="H25" s="6" t="str"/>
    </x:row>
    <x:row r="26" ht="15" hidden="0" customHeight="1">
      <x:c r="A26" s="7" t="n">
        <x:v>40</x:v>
      </x:c>
      <x:c r="B26" s="6" t="str">
        <x:v>Adventure</x:v>
      </x:c>
      <x:c r="C26" s="6" t="str">
        <x:v>chapter_04</x:v>
      </x:c>
      <x:c r="D26" s="7" t="n">
        <x:v>1</x:v>
      </x:c>
      <x:c r="E26" s="6" t="str">
        <x:v>Currency</x:v>
      </x:c>
      <x:c r="F26" s="6" t="str">
        <x:v>Gold</x:v>
      </x:c>
      <x:c r="G26" s="7" t="n">
        <x:v>170</x:v>
      </x:c>
      <x:c r="H26" s="6" t="str"/>
    </x:row>
    <x:row r="27" ht="15" hidden="0" customHeight="1">
      <x:c r="A27" s="7" t="n">
        <x:v>42</x:v>
      </x:c>
      <x:c r="B27" s="6" t="str">
        <x:v>Rank</x:v>
      </x:c>
      <x:c r="C27" s="6" t="str">
        <x:v>0</x:v>
      </x:c>
      <x:c r="D27" s="7" t="n">
        <x:v>1</x:v>
      </x:c>
      <x:c r="E27" s="6" t="str">
        <x:v>Currency</x:v>
      </x:c>
      <x:c r="F27" s="6" t="str">
        <x:v>Gold</x:v>
      </x:c>
      <x:c r="G27" s="7" t="n">
        <x:v>80</x:v>
      </x:c>
      <x:c r="H27" s="6" t="str">
        <x:v>브론즈 1</x:v>
      </x:c>
    </x:row>
    <x:row r="28" ht="15" hidden="0" customHeight="1">
      <x:c r="A28" s="7" t="n">
        <x:v>44</x:v>
      </x:c>
      <x:c r="B28" s="6" t="str">
        <x:v>Rank</x:v>
      </x:c>
      <x:c r="C28" s="6" t="str">
        <x:v>1</x:v>
      </x:c>
      <x:c r="D28" s="7" t="n">
        <x:v>1</x:v>
      </x:c>
      <x:c r="E28" s="6" t="str">
        <x:v>Currency</x:v>
      </x:c>
      <x:c r="F28" s="6" t="str">
        <x:v>Gold</x:v>
      </x:c>
      <x:c r="G28" s="7" t="n">
        <x:v>80</x:v>
      </x:c>
      <x:c r="H28" s="6" t="str">
        <x:v>브론즈 2</x:v>
      </x:c>
    </x:row>
    <x:row r="29" ht="15" hidden="0" customHeight="1">
      <x:c r="A29" s="7" t="n">
        <x:v>46</x:v>
      </x:c>
      <x:c r="B29" s="6" t="str">
        <x:v>Rank</x:v>
      </x:c>
      <x:c r="C29" s="6" t="str">
        <x:v>2</x:v>
      </x:c>
      <x:c r="D29" s="7" t="n">
        <x:v>1</x:v>
      </x:c>
      <x:c r="E29" s="6" t="str">
        <x:v>Currency</x:v>
      </x:c>
      <x:c r="F29" s="6" t="str">
        <x:v>Gold</x:v>
      </x:c>
      <x:c r="G29" s="7" t="n">
        <x:v>80</x:v>
      </x:c>
      <x:c r="H29" s="6" t="str">
        <x:v>브론즈 3</x:v>
      </x:c>
    </x:row>
    <x:row r="30" ht="15" hidden="0" customHeight="1">
      <x:c r="A30" s="7" t="n">
        <x:v>48</x:v>
      </x:c>
      <x:c r="B30" s="6" t="str">
        <x:v>Rank</x:v>
      </x:c>
      <x:c r="C30" s="6" t="str">
        <x:v>3</x:v>
      </x:c>
      <x:c r="D30" s="7" t="n">
        <x:v>1</x:v>
      </x:c>
      <x:c r="E30" s="6" t="str">
        <x:v>Currency</x:v>
      </x:c>
      <x:c r="F30" s="6" t="str">
        <x:v>Gold</x:v>
      </x:c>
      <x:c r="G30" s="7" t="n">
        <x:v>80</x:v>
      </x:c>
      <x:c r="H30" s="6" t="str">
        <x:v>브론즈 4</x:v>
      </x:c>
    </x:row>
    <x:row r="31" ht="15" hidden="0" customHeight="1">
      <x:c r="A31" s="7" t="n">
        <x:v>49</x:v>
      </x:c>
      <x:c r="B31" s="6" t="str">
        <x:v>Rank</x:v>
      </x:c>
      <x:c r="C31" s="6" t="str">
        <x:v>3</x:v>
      </x:c>
      <x:c r="D31" s="7" t="n">
        <x:v>2</x:v>
      </x:c>
      <x:c r="E31" s="6" t="str">
        <x:v>Currency</x:v>
      </x:c>
      <x:c r="F31" s="6" t="str">
        <x:v>Diamond</x:v>
      </x:c>
      <x:c r="G31" s="7" t="n">
        <x:v>5</x:v>
      </x:c>
      <x:c r="H31" s="6" t="str">
        <x:v>브론즈 4 완주</x:v>
      </x:c>
    </x:row>
    <x:row r="32" ht="15" hidden="0" customHeight="1">
      <x:c r="A32" s="7" t="n">
        <x:v>50</x:v>
      </x:c>
      <x:c r="B32" s="6" t="str">
        <x:v>Rank</x:v>
      </x:c>
      <x:c r="C32" s="6" t="str">
        <x:v>4</x:v>
      </x:c>
      <x:c r="D32" s="7" t="n">
        <x:v>1</x:v>
      </x:c>
      <x:c r="E32" s="6" t="str">
        <x:v>Currency</x:v>
      </x:c>
      <x:c r="F32" s="6" t="str">
        <x:v>Gold</x:v>
      </x:c>
      <x:c r="G32" s="7" t="n">
        <x:v>120</x:v>
      </x:c>
      <x:c r="H32" s="6" t="str">
        <x:v>실버 1</x:v>
      </x:c>
    </x:row>
    <x:row r="33" ht="15" hidden="0" customHeight="1">
      <x:c r="A33" s="7" t="n">
        <x:v>52</x:v>
      </x:c>
      <x:c r="B33" s="6" t="str">
        <x:v>Rank</x:v>
      </x:c>
      <x:c r="C33" s="6" t="str">
        <x:v>5</x:v>
      </x:c>
      <x:c r="D33" s="7" t="n">
        <x:v>1</x:v>
      </x:c>
      <x:c r="E33" s="6" t="str">
        <x:v>Currency</x:v>
      </x:c>
      <x:c r="F33" s="6" t="str">
        <x:v>Gold</x:v>
      </x:c>
      <x:c r="G33" s="7" t="n">
        <x:v>120</x:v>
      </x:c>
      <x:c r="H33" s="6" t="str">
        <x:v>실버 2</x:v>
      </x:c>
    </x:row>
    <x:row r="34" ht="15" hidden="0" customHeight="1">
      <x:c r="A34" s="7" t="n">
        <x:v>54</x:v>
      </x:c>
      <x:c r="B34" s="6" t="str">
        <x:v>Rank</x:v>
      </x:c>
      <x:c r="C34" s="6" t="str">
        <x:v>6</x:v>
      </x:c>
      <x:c r="D34" s="7" t="n">
        <x:v>1</x:v>
      </x:c>
      <x:c r="E34" s="6" t="str">
        <x:v>Currency</x:v>
      </x:c>
      <x:c r="F34" s="6" t="str">
        <x:v>Gold</x:v>
      </x:c>
      <x:c r="G34" s="7" t="n">
        <x:v>120</x:v>
      </x:c>
      <x:c r="H34" s="6" t="str">
        <x:v>실버 3</x:v>
      </x:c>
    </x:row>
    <x:row r="35" ht="15" hidden="0" customHeight="1">
      <x:c r="A35" s="7" t="n">
        <x:v>56</x:v>
      </x:c>
      <x:c r="B35" s="6" t="str">
        <x:v>Rank</x:v>
      </x:c>
      <x:c r="C35" s="6" t="str">
        <x:v>7</x:v>
      </x:c>
      <x:c r="D35" s="7" t="n">
        <x:v>1</x:v>
      </x:c>
      <x:c r="E35" s="6" t="str">
        <x:v>Currency</x:v>
      </x:c>
      <x:c r="F35" s="6" t="str">
        <x:v>Gold</x:v>
      </x:c>
      <x:c r="G35" s="7" t="n">
        <x:v>120</x:v>
      </x:c>
      <x:c r="H35" s="6" t="str">
        <x:v>실버 4</x:v>
      </x:c>
    </x:row>
    <x:row r="36" ht="15" hidden="0" customHeight="1">
      <x:c r="A36" s="7" t="n">
        <x:v>57</x:v>
      </x:c>
      <x:c r="B36" s="6" t="str">
        <x:v>Rank</x:v>
      </x:c>
      <x:c r="C36" s="6" t="str">
        <x:v>7</x:v>
      </x:c>
      <x:c r="D36" s="7" t="n">
        <x:v>2</x:v>
      </x:c>
      <x:c r="E36" s="6" t="str">
        <x:v>Currency</x:v>
      </x:c>
      <x:c r="F36" s="6" t="str">
        <x:v>Diamond</x:v>
      </x:c>
      <x:c r="G36" s="7" t="n">
        <x:v>10</x:v>
      </x:c>
      <x:c r="H36" s="6" t="str">
        <x:v>실버 4 완주</x:v>
      </x:c>
    </x:row>
    <x:row r="37" ht="15" hidden="0" customHeight="1">
      <x:c r="A37" s="7" t="n">
        <x:v>58</x:v>
      </x:c>
      <x:c r="B37" s="6" t="str">
        <x:v>Rank</x:v>
      </x:c>
      <x:c r="C37" s="6" t="str">
        <x:v>8</x:v>
      </x:c>
      <x:c r="D37" s="7" t="n">
        <x:v>1</x:v>
      </x:c>
      <x:c r="E37" s="6" t="str">
        <x:v>Currency</x:v>
      </x:c>
      <x:c r="F37" s="6" t="str">
        <x:v>Gold</x:v>
      </x:c>
      <x:c r="G37" s="7" t="n">
        <x:v>180</x:v>
      </x:c>
      <x:c r="H37" s="6" t="str">
        <x:v>골드 1</x:v>
      </x:c>
    </x:row>
    <x:row r="38" ht="15" hidden="0" customHeight="1">
      <x:c r="A38" s="7" t="n">
        <x:v>60</x:v>
      </x:c>
      <x:c r="B38" s="6" t="str">
        <x:v>Rank</x:v>
      </x:c>
      <x:c r="C38" s="6" t="str">
        <x:v>9</x:v>
      </x:c>
      <x:c r="D38" s="7" t="n">
        <x:v>1</x:v>
      </x:c>
      <x:c r="E38" s="6" t="str">
        <x:v>Currency</x:v>
      </x:c>
      <x:c r="F38" s="6" t="str">
        <x:v>Gold</x:v>
      </x:c>
      <x:c r="G38" s="7" t="n">
        <x:v>180</x:v>
      </x:c>
      <x:c r="H38" s="6" t="str">
        <x:v>골드 2</x:v>
      </x:c>
    </x:row>
    <x:row r="39" ht="15" hidden="0" customHeight="1">
      <x:c r="A39" s="7" t="n">
        <x:v>62</x:v>
      </x:c>
      <x:c r="B39" s="6" t="str">
        <x:v>Rank</x:v>
      </x:c>
      <x:c r="C39" s="6" t="str">
        <x:v>10</x:v>
      </x:c>
      <x:c r="D39" s="7" t="n">
        <x:v>1</x:v>
      </x:c>
      <x:c r="E39" s="6" t="str">
        <x:v>Currency</x:v>
      </x:c>
      <x:c r="F39" s="6" t="str">
        <x:v>Gold</x:v>
      </x:c>
      <x:c r="G39" s="7" t="n">
        <x:v>180</x:v>
      </x:c>
      <x:c r="H39" s="6" t="str">
        <x:v>골드 3</x:v>
      </x:c>
    </x:row>
    <x:row r="40" ht="15" hidden="0" customHeight="1">
      <x:c r="A40" s="7" t="n">
        <x:v>64</x:v>
      </x:c>
      <x:c r="B40" s="6" t="str">
        <x:v>Rank</x:v>
      </x:c>
      <x:c r="C40" s="6" t="str">
        <x:v>11</x:v>
      </x:c>
      <x:c r="D40" s="7" t="n">
        <x:v>1</x:v>
      </x:c>
      <x:c r="E40" s="6" t="str">
        <x:v>Currency</x:v>
      </x:c>
      <x:c r="F40" s="6" t="str">
        <x:v>Gold</x:v>
      </x:c>
      <x:c r="G40" s="7" t="n">
        <x:v>180</x:v>
      </x:c>
      <x:c r="H40" s="6" t="str">
        <x:v>골드 4</x:v>
      </x:c>
    </x:row>
    <x:row r="41" ht="15" hidden="0" customHeight="1">
      <x:c r="A41" s="7" t="n">
        <x:v>65</x:v>
      </x:c>
      <x:c r="B41" s="6" t="str">
        <x:v>Rank</x:v>
      </x:c>
      <x:c r="C41" s="6" t="str">
        <x:v>11</x:v>
      </x:c>
      <x:c r="D41" s="7" t="n">
        <x:v>2</x:v>
      </x:c>
      <x:c r="E41" s="6" t="str">
        <x:v>Currency</x:v>
      </x:c>
      <x:c r="F41" s="6" t="str">
        <x:v>Diamond</x:v>
      </x:c>
      <x:c r="G41" s="7" t="n">
        <x:v>15</x:v>
      </x:c>
      <x:c r="H41" s="6" t="str">
        <x:v>골드 4 완주</x:v>
      </x:c>
    </x:row>
    <x:row r="42" ht="15" hidden="0" customHeight="1">
      <x:c r="A42" s="7" t="n">
        <x:v>66</x:v>
      </x:c>
      <x:c r="B42" s="6" t="str">
        <x:v>Rank</x:v>
      </x:c>
      <x:c r="C42" s="6" t="str">
        <x:v>12</x:v>
      </x:c>
      <x:c r="D42" s="7" t="n">
        <x:v>1</x:v>
      </x:c>
      <x:c r="E42" s="6" t="str">
        <x:v>Currency</x:v>
      </x:c>
      <x:c r="F42" s="6" t="str">
        <x:v>Gold</x:v>
      </x:c>
      <x:c r="G42" s="7" t="n">
        <x:v>250</x:v>
      </x:c>
      <x:c r="H42" s="6" t="str">
        <x:v>플래티넘 1</x:v>
      </x:c>
    </x:row>
    <x:row r="43" ht="15" hidden="0" customHeight="1">
      <x:c r="A43" s="7" t="n">
        <x:v>68</x:v>
      </x:c>
      <x:c r="B43" s="6" t="str">
        <x:v>Rank</x:v>
      </x:c>
      <x:c r="C43" s="6" t="str">
        <x:v>13</x:v>
      </x:c>
      <x:c r="D43" s="7" t="n">
        <x:v>1</x:v>
      </x:c>
      <x:c r="E43" s="6" t="str">
        <x:v>Currency</x:v>
      </x:c>
      <x:c r="F43" s="6" t="str">
        <x:v>Gold</x:v>
      </x:c>
      <x:c r="G43" s="7" t="n">
        <x:v>250</x:v>
      </x:c>
      <x:c r="H43" s="6" t="str">
        <x:v>플래티넘 2</x:v>
      </x:c>
    </x:row>
    <x:row r="44" ht="15" hidden="0" customHeight="1">
      <x:c r="A44" s="7" t="n">
        <x:v>70</x:v>
      </x:c>
      <x:c r="B44" s="6" t="str">
        <x:v>Rank</x:v>
      </x:c>
      <x:c r="C44" s="6" t="str">
        <x:v>14</x:v>
      </x:c>
      <x:c r="D44" s="7" t="n">
        <x:v>1</x:v>
      </x:c>
      <x:c r="E44" s="6" t="str">
        <x:v>Currency</x:v>
      </x:c>
      <x:c r="F44" s="6" t="str">
        <x:v>Gold</x:v>
      </x:c>
      <x:c r="G44" s="7" t="n">
        <x:v>250</x:v>
      </x:c>
      <x:c r="H44" s="6" t="str">
        <x:v>플래티넘 3</x:v>
      </x:c>
    </x:row>
    <x:row r="45" ht="15" hidden="0" customHeight="1">
      <x:c r="A45" s="7" t="n">
        <x:v>72</x:v>
      </x:c>
      <x:c r="B45" s="6" t="str">
        <x:v>Rank</x:v>
      </x:c>
      <x:c r="C45" s="6" t="str">
        <x:v>15</x:v>
      </x:c>
      <x:c r="D45" s="7" t="n">
        <x:v>1</x:v>
      </x:c>
      <x:c r="E45" s="6" t="str">
        <x:v>Currency</x:v>
      </x:c>
      <x:c r="F45" s="6" t="str">
        <x:v>Gold</x:v>
      </x:c>
      <x:c r="G45" s="7" t="n">
        <x:v>250</x:v>
      </x:c>
      <x:c r="H45" s="6" t="str">
        <x:v>플래티넘 4</x:v>
      </x:c>
    </x:row>
    <x:row r="46" ht="15" hidden="0" customHeight="1">
      <x:c r="A46" s="7" t="n">
        <x:v>73</x:v>
      </x:c>
      <x:c r="B46" s="6" t="str">
        <x:v>Rank</x:v>
      </x:c>
      <x:c r="C46" s="6" t="str">
        <x:v>15</x:v>
      </x:c>
      <x:c r="D46" s="7" t="n">
        <x:v>2</x:v>
      </x:c>
      <x:c r="E46" s="6" t="str">
        <x:v>Currency</x:v>
      </x:c>
      <x:c r="F46" s="6" t="str">
        <x:v>Diamond</x:v>
      </x:c>
      <x:c r="G46" s="7" t="n">
        <x:v>20</x:v>
      </x:c>
      <x:c r="H46" s="6" t="str">
        <x:v>플래티넘 4 완주</x:v>
      </x:c>
    </x:row>
    <x:row r="47" ht="15" hidden="0" customHeight="1">
      <x:c r="A47" s="7" t="n">
        <x:v>74</x:v>
      </x:c>
      <x:c r="B47" s="6" t="str">
        <x:v>Rank</x:v>
      </x:c>
      <x:c r="C47" s="6" t="str">
        <x:v>16</x:v>
      </x:c>
      <x:c r="D47" s="7" t="n">
        <x:v>1</x:v>
      </x:c>
      <x:c r="E47" s="6" t="str">
        <x:v>Currency</x:v>
      </x:c>
      <x:c r="F47" s="6" t="str">
        <x:v>Gold</x:v>
      </x:c>
      <x:c r="G47" s="7" t="n">
        <x:v>350</x:v>
      </x:c>
      <x:c r="H47" s="6" t="str">
        <x:v>다이아몬드 1</x:v>
      </x:c>
    </x:row>
    <x:row r="48" ht="15" hidden="0" customHeight="1">
      <x:c r="A48" s="7" t="n">
        <x:v>76</x:v>
      </x:c>
      <x:c r="B48" s="6" t="str">
        <x:v>Rank</x:v>
      </x:c>
      <x:c r="C48" s="6" t="str">
        <x:v>17</x:v>
      </x:c>
      <x:c r="D48" s="7" t="n">
        <x:v>1</x:v>
      </x:c>
      <x:c r="E48" s="6" t="str">
        <x:v>Currency</x:v>
      </x:c>
      <x:c r="F48" s="6" t="str">
        <x:v>Gold</x:v>
      </x:c>
      <x:c r="G48" s="7" t="n">
        <x:v>350</x:v>
      </x:c>
      <x:c r="H48" s="6" t="str">
        <x:v>다이아몬드 2</x:v>
      </x:c>
    </x:row>
    <x:row r="49" ht="15" hidden="0" customHeight="1">
      <x:c r="A49" s="7" t="n">
        <x:v>78</x:v>
      </x:c>
      <x:c r="B49" s="6" t="str">
        <x:v>Rank</x:v>
      </x:c>
      <x:c r="C49" s="6" t="str">
        <x:v>18</x:v>
      </x:c>
      <x:c r="D49" s="7" t="n">
        <x:v>1</x:v>
      </x:c>
      <x:c r="E49" s="6" t="str">
        <x:v>Currency</x:v>
      </x:c>
      <x:c r="F49" s="6" t="str">
        <x:v>Gold</x:v>
      </x:c>
      <x:c r="G49" s="7" t="n">
        <x:v>350</x:v>
      </x:c>
      <x:c r="H49" s="6" t="str">
        <x:v>다이아몬드 3</x:v>
      </x:c>
    </x:row>
    <x:row r="50" ht="15" hidden="0" customHeight="1">
      <x:c r="A50" s="7" t="n">
        <x:v>80</x:v>
      </x:c>
      <x:c r="B50" s="6" t="str">
        <x:v>Rank</x:v>
      </x:c>
      <x:c r="C50" s="6" t="str">
        <x:v>19</x:v>
      </x:c>
      <x:c r="D50" s="7" t="n">
        <x:v>1</x:v>
      </x:c>
      <x:c r="E50" s="6" t="str">
        <x:v>Currency</x:v>
      </x:c>
      <x:c r="F50" s="6" t="str">
        <x:v>Gold</x:v>
      </x:c>
      <x:c r="G50" s="7" t="n">
        <x:v>350</x:v>
      </x:c>
      <x:c r="H50" s="6" t="str">
        <x:v>다이아몬드 4</x:v>
      </x:c>
    </x:row>
    <x:row r="51" ht="15" hidden="0" customHeight="1">
      <x:c r="A51" s="7" t="n">
        <x:v>81</x:v>
      </x:c>
      <x:c r="B51" s="6" t="str">
        <x:v>Rank</x:v>
      </x:c>
      <x:c r="C51" s="6" t="str">
        <x:v>19</x:v>
      </x:c>
      <x:c r="D51" s="7" t="n">
        <x:v>2</x:v>
      </x:c>
      <x:c r="E51" s="6" t="str">
        <x:v>Currency</x:v>
      </x:c>
      <x:c r="F51" s="6" t="str">
        <x:v>Diamond</x:v>
      </x:c>
      <x:c r="G51" s="7" t="n">
        <x:v>30</x:v>
      </x:c>
      <x:c r="H51" s="6" t="str">
        <x:v>다이아몬드 4 완주</x:v>
      </x:c>
    </x:row>
    <x:row r="52" ht="15" hidden="0" customHeight="1">
      <x:c r="A52" s="7" t="n">
        <x:v>82</x:v>
      </x:c>
      <x:c r="B52" s="6" t="str">
        <x:v>Battle</x:v>
      </x:c>
      <x:c r="C52" s="6" t="str">
        <x:v>win.perCard</x:v>
      </x:c>
      <x:c r="D52" s="7" t="n">
        <x:v>1</x:v>
      </x:c>
      <x:c r="E52" s="6" t="str">
        <x:v>Currency</x:v>
      </x:c>
      <x:c r="F52" s="6" t="str">
        <x:v>Gold</x:v>
      </x:c>
      <x:c r="G52" s="7" t="n">
        <x:v>10</x:v>
      </x:c>
      <x:c r="H52" s="6" t="str">
        <x:v>승리 시 생존 카드 1장당 지급(계수)</x:v>
      </x:c>
    </x:row>
    <x:row r="53" ht="15" hidden="0" customHeight="1">
      <x:c r="A53" s="7" t="n">
        <x:v>83</x:v>
      </x:c>
      <x:c r="B53" s="6" t="str">
        <x:v>Battle</x:v>
      </x:c>
      <x:c r="C53" s="6" t="str">
        <x:v>win.floor</x:v>
      </x:c>
      <x:c r="D53" s="7" t="n">
        <x:v>1</x:v>
      </x:c>
      <x:c r="E53" s="6" t="str">
        <x:v>Currency</x:v>
      </x:c>
      <x:c r="F53" s="6" t="str">
        <x:v>Gold</x:v>
      </x:c>
      <x:c r="G53" s="7" t="n">
        <x:v>10</x:v>
      </x:c>
      <x:c r="H53" s="6" t="str">
        <x:v>승리 지급액 하한(부전승 바닥)</x:v>
      </x:c>
    </x:row>
    <x:row r="54" ht="15" hidden="0" customHeight="1">
      <x:c r="A54" s="7" t="n">
        <x:v>84</x:v>
      </x:c>
      <x:c r="B54" s="6" t="str">
        <x:v>Battle</x:v>
      </x:c>
      <x:c r="C54" s="6" t="str">
        <x:v>lose.flat</x:v>
      </x:c>
      <x:c r="D54" s="7" t="n">
        <x:v>1</x:v>
      </x:c>
      <x:c r="E54" s="6" t="str">
        <x:v>Currency</x:v>
      </x:c>
      <x:c r="F54" s="6" t="str">
        <x:v>Gold</x:v>
      </x:c>
      <x:c r="G54" s="7" t="n">
        <x:v>5</x:v>
      </x:c>
      <x:c r="H54" s="6" t="str">
        <x:v>패배 고정 지급(생존 카드 무관)</x:v>
      </x:c>
    </x:row>
    <x:row r="55" ht="15" hidden="0" customHeight="1">
      <x:c r="A55" s="7" t="n">
        <x:v>85</x:v>
      </x:c>
      <x:c r="B55" s="6" t="str">
        <x:v>Mission</x:v>
      </x:c>
      <x:c r="C55" s="6" t="str">
        <x:v>daily.openPack1</x:v>
      </x:c>
      <x:c r="D55" s="7" t="n">
        <x:v>1</x:v>
      </x:c>
      <x:c r="E55" s="6" t="str">
        <x:v>Currency</x:v>
      </x:c>
      <x:c r="F55" s="6" t="str">
        <x:v>Gold</x:v>
      </x:c>
      <x:c r="G55" s="7" t="n">
        <x:v>20</x:v>
      </x:c>
      <x:c r="H55" s="6" t="str">
        <x:v>미션 catalog/모험 집계 동기화 대기</x:v>
      </x:c>
    </x:row>
    <x:row r="56" ht="15" hidden="0" customHeight="1">
      <x:c r="A56" s="7" t="n">
        <x:v>93</x:v>
      </x:c>
      <x:c r="B56" s="6" t="str">
        <x:v>Mission</x:v>
      </x:c>
      <x:c r="C56" s="6" t="str">
        <x:v>daily.destroyCards3</x:v>
      </x:c>
      <x:c r="D56" s="7" t="n">
        <x:v>1</x:v>
      </x:c>
      <x:c r="E56" s="6" t="str">
        <x:v>Currency</x:v>
      </x:c>
      <x:c r="F56" s="6" t="str">
        <x:v>Gold</x:v>
      </x:c>
      <x:c r="G56" s="7" t="n">
        <x:v>40</x:v>
      </x:c>
      <x:c r="H56" s="6" t="str">
        <x:v>미션 catalog/모험 집계 동기화 대기</x:v>
      </x:c>
    </x:row>
    <x:row r="57" ht="15" hidden="0" customHeight="1">
      <x:c r="A57" s="7" t="n">
        <x:v>101</x:v>
      </x:c>
      <x:c r="B57" s="6" t="str">
        <x:v>Pass</x:v>
      </x:c>
      <x:c r="C57" s="6" t="str">
        <x:v>S1:1</x:v>
      </x:c>
      <x:c r="D57" s="7" t="n">
        <x:v>1</x:v>
      </x:c>
      <x:c r="E57" s="6" t="str">
        <x:v>Currency</x:v>
      </x:c>
      <x:c r="F57" s="6" t="str">
        <x:v>Gold</x:v>
      </x:c>
      <x:c r="G57" s="7" t="n">
        <x:v>200</x:v>
      </x:c>
      <x:c r="H57" s="6" t="str">
        <x:v>시즌 1 무료 트랙 레벨 1</x:v>
      </x:c>
    </x:row>
    <x:row r="58" ht="15" hidden="0" customHeight="1">
      <x:c r="A58" s="7" t="n">
        <x:v>106</x:v>
      </x:c>
      <x:c r="B58" s="6" t="str">
        <x:v>Pass</x:v>
      </x:c>
      <x:c r="C58" s="6" t="str">
        <x:v>S1:6</x:v>
      </x:c>
      <x:c r="D58" s="7" t="n">
        <x:v>1</x:v>
      </x:c>
      <x:c r="E58" s="6" t="str">
        <x:v>Currency</x:v>
      </x:c>
      <x:c r="F58" s="6" t="str">
        <x:v>Gold</x:v>
      </x:c>
      <x:c r="G58" s="7" t="n">
        <x:v>300</x:v>
      </x:c>
      <x:c r="H58" s="6" t="str">
        <x:v>시즌 1 무료 트랙 레벨 6</x:v>
      </x:c>
    </x:row>
    <x:row r="59" ht="15" hidden="0" customHeight="1">
      <x:c r="A59" s="7" t="n">
        <x:v>107</x:v>
      </x:c>
      <x:c r="B59" s="6" t="str">
        <x:v>Pass</x:v>
      </x:c>
      <x:c r="C59" s="6" t="str">
        <x:v>S1:7</x:v>
      </x:c>
      <x:c r="D59" s="7" t="n">
        <x:v>1</x:v>
      </x:c>
      <x:c r="E59" s="6" t="str">
        <x:v>Currency</x:v>
      </x:c>
      <x:c r="F59" s="6" t="str">
        <x:v>Shard</x:v>
      </x:c>
      <x:c r="G59" s="7" t="n">
        <x:v>100</x:v>
      </x:c>
      <x:c r="H59" s="6" t="str">
        <x:v>시즌 1 무료 트랙 레벨 7</x:v>
      </x:c>
    </x:row>
    <x:row r="60" ht="15" hidden="0" customHeight="1">
      <x:c r="A60" s="7" t="n">
        <x:v>110</x:v>
      </x:c>
      <x:c r="B60" s="6" t="str">
        <x:v>Pass</x:v>
      </x:c>
      <x:c r="C60" s="6" t="str">
        <x:v>S1:10</x:v>
      </x:c>
      <x:c r="D60" s="7" t="n">
        <x:v>1</x:v>
      </x:c>
      <x:c r="E60" s="6" t="str">
        <x:v>Currency</x:v>
      </x:c>
      <x:c r="F60" s="6" t="str">
        <x:v>Diamond</x:v>
      </x:c>
      <x:c r="G60" s="7" t="n">
        <x:v>50</x:v>
      </x:c>
      <x:c r="H60" s="6" t="str">
        <x:v>시즌 1 무료 트랙 레벨 10</x:v>
      </x:c>
    </x:row>
    <x:row r="61" ht="15" hidden="0" customHeight="1">
      <x:c r="A61" s="7" t="n">
        <x:v>111</x:v>
      </x:c>
      <x:c r="B61" s="6" t="str">
        <x:v>Adventure</x:v>
      </x:c>
      <x:c r="C61" s="6" t="str">
        <x:v>node_01</x:v>
      </x:c>
      <x:c r="D61" s="7" t="n">
        <x:v>2</x:v>
      </x:c>
      <x:c r="E61" s="6" t="str">
        <x:v>Currency</x:v>
      </x:c>
      <x:c r="F61" s="6" t="str">
        <x:v>Shard</x:v>
      </x:c>
      <x:c r="G61" s="7" t="n">
        <x:v>20</x:v>
      </x:c>
      <x:c r="H61" s="6" t="str"/>
    </x:row>
    <x:row r="62" ht="15" hidden="0" customHeight="1">
      <x:c r="A62" s="7" t="n">
        <x:v>112</x:v>
      </x:c>
      <x:c r="B62" s="6" t="str">
        <x:v>Adventure</x:v>
      </x:c>
      <x:c r="C62" s="6" t="str">
        <x:v>node_03</x:v>
      </x:c>
      <x:c r="D62" s="7" t="n">
        <x:v>2</x:v>
      </x:c>
      <x:c r="E62" s="6" t="str">
        <x:v>Currency</x:v>
      </x:c>
      <x:c r="F62" s="6" t="str">
        <x:v>Shard</x:v>
      </x:c>
      <x:c r="G62" s="7" t="n">
        <x:v>20</x:v>
      </x:c>
      <x:c r="H62" s="6" t="str"/>
    </x:row>
    <x:row r="63" ht="15" hidden="0" customHeight="1">
      <x:c r="A63" s="7" t="n">
        <x:v>113</x:v>
      </x:c>
      <x:c r="B63" s="6" t="str">
        <x:v>Adventure</x:v>
      </x:c>
      <x:c r="C63" s="6" t="str">
        <x:v>node_04</x:v>
      </x:c>
      <x:c r="D63" s="7" t="n">
        <x:v>2</x:v>
      </x:c>
      <x:c r="E63" s="6" t="str">
        <x:v>Currency</x:v>
      </x:c>
      <x:c r="F63" s="6" t="str">
        <x:v>Shard</x:v>
      </x:c>
      <x:c r="G63" s="7" t="n">
        <x:v>50</x:v>
      </x:c>
      <x:c r="H63" s="6" t="str"/>
    </x:row>
    <x:row r="64" ht="15" hidden="0" customHeight="1">
      <x:c r="A64" s="7" t="n">
        <x:v>114</x:v>
      </x:c>
      <x:c r="B64" s="6" t="str">
        <x:v>Adventure</x:v>
      </x:c>
      <x:c r="C64" s="6" t="str">
        <x:v>node_06</x:v>
      </x:c>
      <x:c r="D64" s="7" t="n">
        <x:v>1</x:v>
      </x:c>
      <x:c r="E64" s="6" t="str">
        <x:v>Currency</x:v>
      </x:c>
      <x:c r="F64" s="6" t="str">
        <x:v>Shard</x:v>
      </x:c>
      <x:c r="G64" s="7" t="n">
        <x:v>30</x:v>
      </x:c>
      <x:c r="H64" s="6" t="str"/>
    </x:row>
    <x:row r="65" ht="15" hidden="0" customHeight="1">
      <x:c r="A65" s="7" t="n">
        <x:v>115</x:v>
      </x:c>
      <x:c r="B65" s="6" t="str">
        <x:v>Adventure</x:v>
      </x:c>
      <x:c r="C65" s="6" t="str">
        <x:v>chapter_01</x:v>
      </x:c>
      <x:c r="D65" s="7" t="n">
        <x:v>2</x:v>
      </x:c>
      <x:c r="E65" s="6" t="str">
        <x:v>Currency</x:v>
      </x:c>
      <x:c r="F65" s="6" t="str">
        <x:v>Diamond</x:v>
      </x:c>
      <x:c r="G65" s="7" t="n">
        <x:v>10</x:v>
      </x:c>
      <x:c r="H65" s="6" t="str"/>
    </x:row>
    <x:row r="66" ht="15" hidden="0" customHeight="1">
      <x:c r="A66" s="7" t="n">
        <x:v>116</x:v>
      </x:c>
      <x:c r="B66" s="6" t="str">
        <x:v>Adventure</x:v>
      </x:c>
      <x:c r="C66" s="6" t="str">
        <x:v>chapter_01</x:v>
      </x:c>
      <x:c r="D66" s="7" t="n">
        <x:v>3</x:v>
      </x:c>
      <x:c r="E66" s="6" t="str">
        <x:v>Pack</x:v>
      </x:c>
      <x:c r="F66" s="6" t="str">
        <x:v>NormalPack_TEST</x:v>
      </x:c>
      <x:c r="G66" s="7" t="n">
        <x:v>1</x:v>
      </x:c>
      <x:c r="H66" s="6" t="str">
        <x:v>팩 지급 구현 대기</x:v>
      </x:c>
    </x:row>
    <x:row r="67" ht="15" hidden="0" customHeight="1">
      <x:c r="A67" s="7" t="n">
        <x:v>117</x:v>
      </x:c>
      <x:c r="B67" s="6" t="str">
        <x:v>Adventure</x:v>
      </x:c>
      <x:c r="C67" s="6" t="str">
        <x:v>node_07</x:v>
      </x:c>
      <x:c r="D67" s="7" t="n">
        <x:v>2</x:v>
      </x:c>
      <x:c r="E67" s="6" t="str">
        <x:v>Currency</x:v>
      </x:c>
      <x:c r="F67" s="6" t="str">
        <x:v>Shard</x:v>
      </x:c>
      <x:c r="G67" s="7" t="n">
        <x:v>30</x:v>
      </x:c>
      <x:c r="H67" s="6" t="str"/>
    </x:row>
    <x:row r="68" ht="15" hidden="0" customHeight="1">
      <x:c r="A68" s="7" t="n">
        <x:v>118</x:v>
      </x:c>
      <x:c r="B68" s="6" t="str">
        <x:v>Adventure</x:v>
      </x:c>
      <x:c r="C68" s="6" t="str">
        <x:v>node_09</x:v>
      </x:c>
      <x:c r="D68" s="7" t="n">
        <x:v>2</x:v>
      </x:c>
      <x:c r="E68" s="6" t="str">
        <x:v>Currency</x:v>
      </x:c>
      <x:c r="F68" s="6" t="str">
        <x:v>Shard</x:v>
      </x:c>
      <x:c r="G68" s="7" t="n">
        <x:v>30</x:v>
      </x:c>
      <x:c r="H68" s="6" t="str"/>
    </x:row>
    <x:row r="69" ht="15" hidden="0" customHeight="1">
      <x:c r="A69" s="7" t="n">
        <x:v>119</x:v>
      </x:c>
      <x:c r="B69" s="6" t="str">
        <x:v>Adventure</x:v>
      </x:c>
      <x:c r="C69" s="6" t="str">
        <x:v>node_10</x:v>
      </x:c>
      <x:c r="D69" s="7" t="n">
        <x:v>2</x:v>
      </x:c>
      <x:c r="E69" s="6" t="str">
        <x:v>Currency</x:v>
      </x:c>
      <x:c r="F69" s="6" t="str">
        <x:v>Shard</x:v>
      </x:c>
      <x:c r="G69" s="7" t="n">
        <x:v>50</x:v>
      </x:c>
      <x:c r="H69" s="6" t="str"/>
    </x:row>
    <x:row r="70" ht="15" hidden="0" customHeight="1">
      <x:c r="A70" s="7" t="n">
        <x:v>120</x:v>
      </x:c>
      <x:c r="B70" s="6" t="str">
        <x:v>Adventure</x:v>
      </x:c>
      <x:c r="C70" s="6" t="str">
        <x:v>node_12</x:v>
      </x:c>
      <x:c r="D70" s="7" t="n">
        <x:v>1</x:v>
      </x:c>
      <x:c r="E70" s="6" t="str">
        <x:v>Currency</x:v>
      </x:c>
      <x:c r="F70" s="6" t="str">
        <x:v>Shard</x:v>
      </x:c>
      <x:c r="G70" s="7" t="n">
        <x:v>40</x:v>
      </x:c>
      <x:c r="H70" s="6" t="str"/>
    </x:row>
    <x:row r="71" ht="15" hidden="0" customHeight="1">
      <x:c r="A71" s="7" t="n">
        <x:v>121</x:v>
      </x:c>
      <x:c r="B71" s="6" t="str">
        <x:v>Adventure</x:v>
      </x:c>
      <x:c r="C71" s="6" t="str">
        <x:v>chapter_02</x:v>
      </x:c>
      <x:c r="D71" s="7" t="n">
        <x:v>2</x:v>
      </x:c>
      <x:c r="E71" s="6" t="str">
        <x:v>Currency</x:v>
      </x:c>
      <x:c r="F71" s="6" t="str">
        <x:v>Diamond</x:v>
      </x:c>
      <x:c r="G71" s="7" t="n">
        <x:v>15</x:v>
      </x:c>
      <x:c r="H71" s="6" t="str"/>
    </x:row>
    <x:row r="72" ht="15" hidden="0" customHeight="1">
      <x:c r="A72" s="7" t="n">
        <x:v>122</x:v>
      </x:c>
      <x:c r="B72" s="6" t="str">
        <x:v>Adventure</x:v>
      </x:c>
      <x:c r="C72" s="6" t="str">
        <x:v>chapter_02</x:v>
      </x:c>
      <x:c r="D72" s="7" t="n">
        <x:v>3</x:v>
      </x:c>
      <x:c r="E72" s="6" t="str">
        <x:v>Pack</x:v>
      </x:c>
      <x:c r="F72" s="6" t="str">
        <x:v>NormalPack_TEST</x:v>
      </x:c>
      <x:c r="G72" s="7" t="n">
        <x:v>1</x:v>
      </x:c>
      <x:c r="H72" s="6" t="str">
        <x:v>팩 지급 구현 대기</x:v>
      </x:c>
    </x:row>
    <x:row r="73" ht="15" hidden="0" customHeight="1">
      <x:c r="A73" s="7" t="n">
        <x:v>123</x:v>
      </x:c>
      <x:c r="B73" s="6" t="str">
        <x:v>Adventure</x:v>
      </x:c>
      <x:c r="C73" s="6" t="str">
        <x:v>node_13</x:v>
      </x:c>
      <x:c r="D73" s="7" t="n">
        <x:v>2</x:v>
      </x:c>
      <x:c r="E73" s="6" t="str">
        <x:v>Currency</x:v>
      </x:c>
      <x:c r="F73" s="6" t="str">
        <x:v>Shard</x:v>
      </x:c>
      <x:c r="G73" s="7" t="n">
        <x:v>40</x:v>
      </x:c>
      <x:c r="H73" s="6" t="str"/>
    </x:row>
    <x:row r="74" ht="15" hidden="0" customHeight="1">
      <x:c r="A74" s="7" t="n">
        <x:v>124</x:v>
      </x:c>
      <x:c r="B74" s="6" t="str">
        <x:v>Adventure</x:v>
      </x:c>
      <x:c r="C74" s="6" t="str">
        <x:v>node_15</x:v>
      </x:c>
      <x:c r="D74" s="7" t="n">
        <x:v>2</x:v>
      </x:c>
      <x:c r="E74" s="6" t="str">
        <x:v>Currency</x:v>
      </x:c>
      <x:c r="F74" s="6" t="str">
        <x:v>Shard</x:v>
      </x:c>
      <x:c r="G74" s="7" t="n">
        <x:v>40</x:v>
      </x:c>
      <x:c r="H74" s="6" t="str"/>
    </x:row>
    <x:row r="75" ht="15" hidden="0" customHeight="1">
      <x:c r="A75" s="7" t="n">
        <x:v>125</x:v>
      </x:c>
      <x:c r="B75" s="6" t="str">
        <x:v>Adventure</x:v>
      </x:c>
      <x:c r="C75" s="6" t="str">
        <x:v>node_16</x:v>
      </x:c>
      <x:c r="D75" s="7" t="n">
        <x:v>2</x:v>
      </x:c>
      <x:c r="E75" s="6" t="str">
        <x:v>Currency</x:v>
      </x:c>
      <x:c r="F75" s="6" t="str">
        <x:v>Shard</x:v>
      </x:c>
      <x:c r="G75" s="7" t="n">
        <x:v>60</x:v>
      </x:c>
      <x:c r="H75" s="6" t="str"/>
    </x:row>
    <x:row r="76" ht="15" hidden="0" customHeight="1">
      <x:c r="A76" s="7" t="n">
        <x:v>126</x:v>
      </x:c>
      <x:c r="B76" s="6" t="str">
        <x:v>Adventure</x:v>
      </x:c>
      <x:c r="C76" s="6" t="str">
        <x:v>node_18</x:v>
      </x:c>
      <x:c r="D76" s="7" t="n">
        <x:v>1</x:v>
      </x:c>
      <x:c r="E76" s="6" t="str">
        <x:v>Currency</x:v>
      </x:c>
      <x:c r="F76" s="6" t="str">
        <x:v>Shard</x:v>
      </x:c>
      <x:c r="G76" s="7" t="n">
        <x:v>50</x:v>
      </x:c>
      <x:c r="H76" s="6" t="str"/>
    </x:row>
    <x:row r="77" ht="15" hidden="0" customHeight="1">
      <x:c r="A77" s="7" t="n">
        <x:v>127</x:v>
      </x:c>
      <x:c r="B77" s="6" t="str">
        <x:v>Adventure</x:v>
      </x:c>
      <x:c r="C77" s="6" t="str">
        <x:v>chapter_03</x:v>
      </x:c>
      <x:c r="D77" s="7" t="n">
        <x:v>2</x:v>
      </x:c>
      <x:c r="E77" s="6" t="str">
        <x:v>Currency</x:v>
      </x:c>
      <x:c r="F77" s="6" t="str">
        <x:v>Diamond</x:v>
      </x:c>
      <x:c r="G77" s="7" t="n">
        <x:v>20</x:v>
      </x:c>
      <x:c r="H77" s="6" t="str"/>
    </x:row>
    <x:row r="78" ht="15" hidden="0" customHeight="1">
      <x:c r="A78" s="7" t="n">
        <x:v>128</x:v>
      </x:c>
      <x:c r="B78" s="6" t="str">
        <x:v>Adventure</x:v>
      </x:c>
      <x:c r="C78" s="6" t="str">
        <x:v>chapter_03</x:v>
      </x:c>
      <x:c r="D78" s="7" t="n">
        <x:v>3</x:v>
      </x:c>
      <x:c r="E78" s="6" t="str">
        <x:v>Pack</x:v>
      </x:c>
      <x:c r="F78" s="6" t="str">
        <x:v>GiantsGardenPack</x:v>
      </x:c>
      <x:c r="G78" s="7" t="n">
        <x:v>1</x:v>
      </x:c>
      <x:c r="H78" s="6" t="str">
        <x:v>팩 지급 구현 대기</x:v>
      </x:c>
    </x:row>
    <x:row r="79" ht="15" hidden="0" customHeight="1">
      <x:c r="A79" s="7" t="n">
        <x:v>129</x:v>
      </x:c>
      <x:c r="B79" s="6" t="str">
        <x:v>Adventure</x:v>
      </x:c>
      <x:c r="C79" s="6" t="str">
        <x:v>node_19</x:v>
      </x:c>
      <x:c r="D79" s="7" t="n">
        <x:v>2</x:v>
      </x:c>
      <x:c r="E79" s="6" t="str">
        <x:v>Currency</x:v>
      </x:c>
      <x:c r="F79" s="6" t="str">
        <x:v>Shard</x:v>
      </x:c>
      <x:c r="G79" s="7" t="n">
        <x:v>50</x:v>
      </x:c>
      <x:c r="H79" s="6" t="str"/>
    </x:row>
    <x:row r="80" ht="15" hidden="0" customHeight="1">
      <x:c r="A80" s="7" t="n">
        <x:v>130</x:v>
      </x:c>
      <x:c r="B80" s="6" t="str">
        <x:v>Adventure</x:v>
      </x:c>
      <x:c r="C80" s="6" t="str">
        <x:v>node_21</x:v>
      </x:c>
      <x:c r="D80" s="7" t="n">
        <x:v>2</x:v>
      </x:c>
      <x:c r="E80" s="6" t="str">
        <x:v>Currency</x:v>
      </x:c>
      <x:c r="F80" s="6" t="str">
        <x:v>Shard</x:v>
      </x:c>
      <x:c r="G80" s="7" t="n">
        <x:v>50</x:v>
      </x:c>
      <x:c r="H80" s="6" t="str"/>
    </x:row>
    <x:row r="81" ht="15" hidden="0" customHeight="1">
      <x:c r="A81" s="7" t="n">
        <x:v>131</x:v>
      </x:c>
      <x:c r="B81" s="6" t="str">
        <x:v>Adventure</x:v>
      </x:c>
      <x:c r="C81" s="6" t="str">
        <x:v>node_22</x:v>
      </x:c>
      <x:c r="D81" s="7" t="n">
        <x:v>2</x:v>
      </x:c>
      <x:c r="E81" s="6" t="str">
        <x:v>Currency</x:v>
      </x:c>
      <x:c r="F81" s="6" t="str">
        <x:v>Shard</x:v>
      </x:c>
      <x:c r="G81" s="7" t="n">
        <x:v>70</x:v>
      </x:c>
      <x:c r="H81" s="6" t="str"/>
    </x:row>
    <x:row r="82" ht="15" hidden="0" customHeight="1">
      <x:c r="A82" s="7" t="n">
        <x:v>132</x:v>
      </x:c>
      <x:c r="B82" s="6" t="str">
        <x:v>Adventure</x:v>
      </x:c>
      <x:c r="C82" s="6" t="str">
        <x:v>node_24</x:v>
      </x:c>
      <x:c r="D82" s="7" t="n">
        <x:v>1</x:v>
      </x:c>
      <x:c r="E82" s="6" t="str">
        <x:v>Currency</x:v>
      </x:c>
      <x:c r="F82" s="6" t="str">
        <x:v>Shard</x:v>
      </x:c>
      <x:c r="G82" s="7" t="n">
        <x:v>60</x:v>
      </x:c>
      <x:c r="H82" s="6" t="str"/>
    </x:row>
    <x:row r="83" ht="15" hidden="0" customHeight="1">
      <x:c r="A83" s="7" t="n">
        <x:v>133</x:v>
      </x:c>
      <x:c r="B83" s="6" t="str">
        <x:v>Adventure</x:v>
      </x:c>
      <x:c r="C83" s="6" t="str">
        <x:v>chapter_04</x:v>
      </x:c>
      <x:c r="D83" s="7" t="n">
        <x:v>2</x:v>
      </x:c>
      <x:c r="E83" s="6" t="str">
        <x:v>Currency</x:v>
      </x:c>
      <x:c r="F83" s="6" t="str">
        <x:v>Diamond</x:v>
      </x:c>
      <x:c r="G83" s="7" t="n">
        <x:v>30</x:v>
      </x:c>
      <x:c r="H83" s="6" t="str"/>
    </x:row>
    <x:row r="84" ht="15" hidden="0" customHeight="1">
      <x:c r="A84" s="7" t="n">
        <x:v>134</x:v>
      </x:c>
      <x:c r="B84" s="6" t="str">
        <x:v>Adventure</x:v>
      </x:c>
      <x:c r="C84" s="6" t="str">
        <x:v>chapter_04</x:v>
      </x:c>
      <x:c r="D84" s="7" t="n">
        <x:v>3</x:v>
      </x:c>
      <x:c r="E84" s="6" t="str">
        <x:v>Pack</x:v>
      </x:c>
      <x:c r="F84" s="6" t="str">
        <x:v>HuntingBrandPack</x:v>
      </x:c>
      <x:c r="G84" s="7" t="n">
        <x:v>2</x:v>
      </x:c>
      <x:c r="H84" s="6" t="str">
        <x:v>팩 지급 구현 대기</x:v>
      </x:c>
    </x:row>
    <x:row r="85" ht="15" hidden="0" customHeight="1">
      <x:c r="A85" s="7" t="n">
        <x:v>135</x:v>
      </x:c>
      <x:c r="B85" s="6" t="str">
        <x:v>Rank</x:v>
      </x:c>
      <x:c r="C85" s="6" t="str">
        <x:v>3</x:v>
      </x:c>
      <x:c r="D85" s="7" t="n">
        <x:v>3</x:v>
      </x:c>
      <x:c r="E85" s="6" t="str">
        <x:v>Pack</x:v>
      </x:c>
      <x:c r="F85" s="6" t="str">
        <x:v>NormalPack_TEST</x:v>
      </x:c>
      <x:c r="G85" s="7" t="n">
        <x:v>1</x:v>
      </x:c>
      <x:c r="H85" s="6" t="str">
        <x:v>브론즈 4 팩 지급 구현 대기</x:v>
      </x:c>
    </x:row>
    <x:row r="86" ht="15" hidden="0" customHeight="1">
      <x:c r="A86" s="7" t="n">
        <x:v>136</x:v>
      </x:c>
      <x:c r="B86" s="6" t="str">
        <x:v>Rank</x:v>
      </x:c>
      <x:c r="C86" s="6" t="str">
        <x:v>7</x:v>
      </x:c>
      <x:c r="D86" s="7" t="n">
        <x:v>3</x:v>
      </x:c>
      <x:c r="E86" s="6" t="str">
        <x:v>Pack</x:v>
      </x:c>
      <x:c r="F86" s="6" t="str">
        <x:v>NormalPack_TEST</x:v>
      </x:c>
      <x:c r="G86" s="7" t="n">
        <x:v>1</x:v>
      </x:c>
      <x:c r="H86" s="6" t="str">
        <x:v>실버 4 팩 지급 구현 대기</x:v>
      </x:c>
    </x:row>
    <x:row r="87" ht="15" hidden="0" customHeight="1">
      <x:c r="A87" s="7" t="n">
        <x:v>137</x:v>
      </x:c>
      <x:c r="B87" s="6" t="str">
        <x:v>Rank</x:v>
      </x:c>
      <x:c r="C87" s="6" t="str">
        <x:v>11</x:v>
      </x:c>
      <x:c r="D87" s="7" t="n">
        <x:v>3</x:v>
      </x:c>
      <x:c r="E87" s="6" t="str">
        <x:v>Pack</x:v>
      </x:c>
      <x:c r="F87" s="6" t="str">
        <x:v>GiantsGardenPack</x:v>
      </x:c>
      <x:c r="G87" s="7" t="n">
        <x:v>1</x:v>
      </x:c>
      <x:c r="H87" s="6" t="str">
        <x:v>골드 4 팩 지급 구현 대기</x:v>
      </x:c>
    </x:row>
    <x:row r="88" ht="15" hidden="0" customHeight="1">
      <x:c r="A88" s="7" t="n">
        <x:v>138</x:v>
      </x:c>
      <x:c r="B88" s="6" t="str">
        <x:v>Rank</x:v>
      </x:c>
      <x:c r="C88" s="6" t="str">
        <x:v>15</x:v>
      </x:c>
      <x:c r="D88" s="7" t="n">
        <x:v>3</x:v>
      </x:c>
      <x:c r="E88" s="6" t="str">
        <x:v>Pack</x:v>
      </x:c>
      <x:c r="F88" s="6" t="str">
        <x:v>HuntingBrandPack</x:v>
      </x:c>
      <x:c r="G88" s="7" t="n">
        <x:v>2</x:v>
      </x:c>
      <x:c r="H88" s="6" t="str">
        <x:v>플래티넘 4 팩 지급 구현 대기</x:v>
      </x:c>
    </x:row>
    <x:row r="89" ht="15" hidden="0" customHeight="1">
      <x:c r="A89" s="7" t="n">
        <x:v>139</x:v>
      </x:c>
      <x:c r="B89" s="6" t="str">
        <x:v>Rank</x:v>
      </x:c>
      <x:c r="C89" s="6" t="str">
        <x:v>19</x:v>
      </x:c>
      <x:c r="D89" s="7" t="n">
        <x:v>3</x:v>
      </x:c>
      <x:c r="E89" s="6" t="str">
        <x:v>Pack</x:v>
      </x:c>
      <x:c r="F89" s="6" t="str">
        <x:v>ImmortalLegacyPack</x:v>
      </x:c>
      <x:c r="G89" s="7" t="n">
        <x:v>3</x:v>
      </x:c>
      <x:c r="H89" s="6" t="str">
        <x:v>다이아몬드 4 팩 지급 구현 대기</x:v>
      </x:c>
    </x:row>
    <x:row r="90" ht="15" hidden="0" customHeight="1">
      <x:c r="A90" s="7" t="n">
        <x:v>140</x:v>
      </x:c>
      <x:c r="B90" s="6" t="str">
        <x:v>Mission</x:v>
      </x:c>
      <x:c r="C90" s="6" t="str">
        <x:v>daily.completeBattle3</x:v>
      </x:c>
      <x:c r="D90" s="7" t="n">
        <x:v>1</x:v>
      </x:c>
      <x:c r="E90" s="6" t="str">
        <x:v>Currency</x:v>
      </x:c>
      <x:c r="F90" s="6" t="str">
        <x:v>Shard</x:v>
      </x:c>
      <x:c r="G90" s="7" t="n">
        <x:v>30</x:v>
      </x:c>
      <x:c r="H90" s="6" t="str">
        <x:v>미션 catalog/모험 집계 동기화 대기</x:v>
      </x:c>
    </x:row>
    <x:row r="91" ht="15" hidden="0" customHeight="1">
      <x:c r="A91" s="7" t="n">
        <x:v>141</x:v>
      </x:c>
      <x:c r="B91" s="6" t="str">
        <x:v>Mission</x:v>
      </x:c>
      <x:c r="C91" s="6" t="str">
        <x:v>daily.completeBattle5</x:v>
      </x:c>
      <x:c r="D91" s="7" t="n">
        <x:v>1</x:v>
      </x:c>
      <x:c r="E91" s="6" t="str">
        <x:v>Currency</x:v>
      </x:c>
      <x:c r="F91" s="6" t="str">
        <x:v>Gold</x:v>
      </x:c>
      <x:c r="G91" s="7" t="n">
        <x:v>50</x:v>
      </x:c>
      <x:c r="H91" s="6" t="str">
        <x:v>미션 catalog/모험 집계 동기화 대기</x:v>
      </x:c>
    </x:row>
    <x:row r="92" ht="15" hidden="0" customHeight="1">
      <x:c r="A92" s="7" t="n">
        <x:v>142</x:v>
      </x:c>
      <x:c r="B92" s="6" t="str">
        <x:v>Mission</x:v>
      </x:c>
      <x:c r="C92" s="6" t="str">
        <x:v>daily.completeBattle3</x:v>
      </x:c>
      <x:c r="D92" s="7" t="n">
        <x:v>2</x:v>
      </x:c>
      <x:c r="E92" s="6" t="str">
        <x:v>Currency</x:v>
      </x:c>
      <x:c r="F92" s="6" t="str">
        <x:v>RouletteTicket</x:v>
      </x:c>
      <x:c r="G92" s="7" t="n">
        <x:v>1</x:v>
      </x:c>
      <x:c r="H92" s="6" t="str">
        <x:v>일일 첫 회전은 전투 3회 완료로 지급; 승패 무관</x:v>
      </x:c>
    </x:row>
    <x:row r="93" ht="15" hidden="0" customHeight="1">
      <x:c r="A93" s="7" t="n">
        <x:v>143</x:v>
      </x:c>
      <x:c r="B93" s="6" t="str">
        <x:v>Mission</x:v>
      </x:c>
      <x:c r="C93" s="6" t="str">
        <x:v>daily.triggerKeyword2</x:v>
      </x:c>
      <x:c r="D93" s="7" t="n">
        <x:v>1</x:v>
      </x:c>
      <x:c r="E93" s="6" t="str">
        <x:v>Currency</x:v>
      </x:c>
      <x:c r="F93" s="6" t="str">
        <x:v>Gold</x:v>
      </x:c>
      <x:c r="G93" s="7" t="n">
        <x:v>10</x:v>
      </x:c>
      <x:c r="H93" s="6" t="str">
        <x:v>에너지 보상을 골드로 대체</x:v>
      </x:c>
    </x:row>
    <x:row r="94" ht="15" hidden="0" customHeight="1">
      <x:c r="A94" s="7" t="n">
        <x:v>144</x:v>
      </x:c>
      <x:c r="B94" s="6" t="str">
        <x:v>Mission</x:v>
      </x:c>
      <x:c r="C94" s="6" t="str">
        <x:v>daily.triggerSynergy2</x:v>
      </x:c>
      <x:c r="D94" s="7" t="n">
        <x:v>1</x:v>
      </x:c>
      <x:c r="E94" s="6" t="str">
        <x:v>Currency</x:v>
      </x:c>
      <x:c r="F94" s="6" t="str">
        <x:v>Shard</x:v>
      </x:c>
      <x:c r="G94" s="7" t="n">
        <x:v>10</x:v>
      </x:c>
      <x:c r="H94" s="6" t="str">
        <x:v>미션 catalog/모험 집계 동기화 대기</x:v>
      </x:c>
    </x:row>
    <x:row r="95" ht="15" hidden="0" customHeight="1">
      <x:c r="A95" s="7" t="n">
        <x:v>145</x:v>
      </x:c>
      <x:c r="B95" s="6" t="str">
        <x:v>Mission</x:v>
      </x:c>
      <x:c r="C95" s="6" t="str">
        <x:v>weekly.completeBattle20</x:v>
      </x:c>
      <x:c r="D95" s="7" t="n">
        <x:v>1</x:v>
      </x:c>
      <x:c r="E95" s="6" t="str">
        <x:v>Currency</x:v>
      </x:c>
      <x:c r="F95" s="6" t="str">
        <x:v>Shard</x:v>
      </x:c>
      <x:c r="G95" s="7" t="n">
        <x:v>80</x:v>
      </x:c>
      <x:c r="H95" s="6" t="str">
        <x:v>미션 catalog/모험 집계 동기화 대기</x:v>
      </x:c>
    </x:row>
    <x:row r="96" ht="15" hidden="0" customHeight="1">
      <x:c r="A96" s="7" t="n">
        <x:v>146</x:v>
      </x:c>
      <x:c r="B96" s="6" t="str">
        <x:v>Mission</x:v>
      </x:c>
      <x:c r="C96" s="6" t="str">
        <x:v>weekly.completeBattle35</x:v>
      </x:c>
      <x:c r="D96" s="7" t="n">
        <x:v>1</x:v>
      </x:c>
      <x:c r="E96" s="6" t="str">
        <x:v>Currency</x:v>
      </x:c>
      <x:c r="F96" s="6" t="str">
        <x:v>Shard</x:v>
      </x:c>
      <x:c r="G96" s="7" t="n">
        <x:v>40</x:v>
      </x:c>
      <x:c r="H96" s="6" t="str">
        <x:v>미션 catalog/모험 집계 동기화 대기</x:v>
      </x:c>
    </x:row>
    <x:row r="97" ht="15" hidden="0" customHeight="1">
      <x:c r="A97" s="7" t="n">
        <x:v>147</x:v>
      </x:c>
      <x:c r="B97" s="6" t="str">
        <x:v>Mission</x:v>
      </x:c>
      <x:c r="C97" s="6" t="str">
        <x:v>weekly.completeBattle35</x:v>
      </x:c>
      <x:c r="D97" s="7" t="n">
        <x:v>2</x:v>
      </x:c>
      <x:c r="E97" s="6" t="str">
        <x:v>Currency</x:v>
      </x:c>
      <x:c r="F97" s="6" t="str">
        <x:v>Gold</x:v>
      </x:c>
      <x:c r="G97" s="7" t="n">
        <x:v>180</x:v>
      </x:c>
      <x:c r="H97" s="6" t="str">
        <x:v>미션 catalog/모험 집계 동기화 대기</x:v>
      </x:c>
    </x:row>
    <x:row r="98" ht="15" hidden="0" customHeight="1">
      <x:c r="A98" s="7" t="n">
        <x:v>148</x:v>
      </x:c>
      <x:c r="B98" s="6" t="str">
        <x:v>Mission</x:v>
      </x:c>
      <x:c r="C98" s="6" t="str">
        <x:v>weekly.openPack10</x:v>
      </x:c>
      <x:c r="D98" s="7" t="n">
        <x:v>1</x:v>
      </x:c>
      <x:c r="E98" s="6" t="str">
        <x:v>Pack</x:v>
      </x:c>
      <x:c r="F98" s="6" t="str">
        <x:v>NormalPack_TEST</x:v>
      </x:c>
      <x:c r="G98" s="7" t="n">
        <x:v>1</x:v>
      </x:c>
      <x:c r="H98" s="6" t="str">
        <x:v>미션 catalog/모험 집계 동기화 대기; 팩 지급 구현 대기</x:v>
      </x:c>
    </x:row>
    <x:row r="99" ht="15" hidden="0" customHeight="1">
      <x:c r="A99" s="7" t="n">
        <x:v>149</x:v>
      </x:c>
      <x:c r="B99" s="6" t="str">
        <x:v>Mission</x:v>
      </x:c>
      <x:c r="C99" s="6" t="str">
        <x:v>weekly.enhanceCard10</x:v>
      </x:c>
      <x:c r="D99" s="7" t="n">
        <x:v>1</x:v>
      </x:c>
      <x:c r="E99" s="6" t="str">
        <x:v>Currency</x:v>
      </x:c>
      <x:c r="F99" s="6" t="str">
        <x:v>Gold</x:v>
      </x:c>
      <x:c r="G99" s="7" t="n">
        <x:v>120</x:v>
      </x:c>
      <x:c r="H99" s="6" t="str">
        <x:v>기존 골드 200 + 에너지 대체 골드 30</x:v>
      </x:c>
    </x:row>
    <x:row r="100" ht="15" hidden="0" customHeight="1">
      <x:c r="A100" s="7" t="n">
        <x:v>151</x:v>
      </x:c>
      <x:c r="B100" s="6" t="str">
        <x:v>Mission</x:v>
      </x:c>
      <x:c r="C100" s="6" t="str">
        <x:v>weekly.winBattle10</x:v>
      </x:c>
      <x:c r="D100" s="7" t="n">
        <x:v>1</x:v>
      </x:c>
      <x:c r="E100" s="6" t="str">
        <x:v>Currency</x:v>
      </x:c>
      <x:c r="F100" s="6" t="str">
        <x:v>Diamond</x:v>
      </x:c>
      <x:c r="G100" s="7" t="n">
        <x:v>20</x:v>
      </x:c>
      <x:c r="H100" s="6" t="str">
        <x:v>미션 catalog/모험 집계 동기화 대기</x:v>
      </x:c>
    </x:row>
    <x:row r="101" ht="15" hidden="0" customHeight="1">
      <x:c r="A101" s="7" t="n">
        <x:v>152</x:v>
      </x:c>
      <x:c r="B101" s="6" t="str">
        <x:v>Mission</x:v>
      </x:c>
      <x:c r="C101" s="6" t="str">
        <x:v>weekly.completeBattle20</x:v>
      </x:c>
      <x:c r="D101" s="7" t="n">
        <x:v>2</x:v>
      </x:c>
      <x:c r="E101" s="6" t="str">
        <x:v>Currency</x:v>
      </x:c>
      <x:c r="F101" s="6" t="str">
        <x:v>RouletteTicket</x:v>
      </x:c>
      <x:c r="G101" s="7" t="n">
        <x:v>3</x:v>
      </x:c>
      <x:c r="H101" s="6" t="str">
        <x:v>주간 회전 보충은 전투 20회 완료로 지급; 승패 무관</x:v>
      </x:c>
    </x:row>
    <x:row r="102" ht="15" hidden="0" customHeight="1">
      <x:c r="A102" s="7" t="n">
        <x:v>153</x:v>
      </x:c>
      <x:c r="B102" s="6" t="str">
        <x:v>Pass</x:v>
      </x:c>
      <x:c r="C102" s="6" t="str">
        <x:v>S1:2</x:v>
      </x:c>
      <x:c r="D102" s="7" t="n">
        <x:v>1</x:v>
      </x:c>
      <x:c r="E102" s="6" t="str">
        <x:v>Currency</x:v>
      </x:c>
      <x:c r="F102" s="6" t="str">
        <x:v>Shard</x:v>
      </x:c>
      <x:c r="G102" s="7" t="n">
        <x:v>60</x:v>
      </x:c>
      <x:c r="H102" s="6" t="str">
        <x:v>시즌 1 무료 트랙 레벨 2</x:v>
      </x:c>
    </x:row>
    <x:row r="103" ht="15" hidden="0" customHeight="1">
      <x:c r="A103" s="7" t="n">
        <x:v>154</x:v>
      </x:c>
      <x:c r="B103" s="6" t="str">
        <x:v>Pass</x:v>
      </x:c>
      <x:c r="C103" s="6" t="str">
        <x:v>S1:3</x:v>
      </x:c>
      <x:c r="D103" s="7" t="n">
        <x:v>1</x:v>
      </x:c>
      <x:c r="E103" s="6" t="str">
        <x:v>Pack</x:v>
      </x:c>
      <x:c r="F103" s="6" t="str">
        <x:v>NormalPack_TEST</x:v>
      </x:c>
      <x:c r="G103" s="7" t="n">
        <x:v>1</x:v>
      </x:c>
      <x:c r="H103" s="6" t="str">
        <x:v>시즌 1 무료 트랙 레벨 3; 팩 지급 구현 대기</x:v>
      </x:c>
    </x:row>
    <x:row r="104" ht="15" hidden="0" customHeight="1">
      <x:c r="A104" s="7" t="n">
        <x:v>155</x:v>
      </x:c>
      <x:c r="B104" s="6" t="str">
        <x:v>Pass</x:v>
      </x:c>
      <x:c r="C104" s="6" t="str">
        <x:v>S1:3</x:v>
      </x:c>
      <x:c r="D104" s="7" t="n">
        <x:v>2</x:v>
      </x:c>
      <x:c r="E104" s="6" t="str">
        <x:v>Currency</x:v>
      </x:c>
      <x:c r="F104" s="6" t="str">
        <x:v>RouletteTicket</x:v>
      </x:c>
      <x:c r="G104" s="7" t="n">
        <x:v>2</x:v>
      </x:c>
      <x:c r="H104" s="6" t="str">
        <x:v>시즌 1 무료 트랙 레벨 3</x:v>
      </x:c>
    </x:row>
    <x:row r="105" ht="15" hidden="0" customHeight="1">
      <x:c r="A105" s="7" t="n">
        <x:v>156</x:v>
      </x:c>
      <x:c r="B105" s="6" t="str">
        <x:v>Pass</x:v>
      </x:c>
      <x:c r="C105" s="6" t="str">
        <x:v>S1:4</x:v>
      </x:c>
      <x:c r="D105" s="7" t="n">
        <x:v>1</x:v>
      </x:c>
      <x:c r="E105" s="6" t="str">
        <x:v>Currency</x:v>
      </x:c>
      <x:c r="F105" s="6" t="str">
        <x:v>Diamond</x:v>
      </x:c>
      <x:c r="G105" s="7" t="n">
        <x:v>10</x:v>
      </x:c>
      <x:c r="H105" s="6" t="str">
        <x:v>시즌 1 무료 트랙 레벨 4</x:v>
      </x:c>
    </x:row>
    <x:row r="106" ht="15" hidden="0" customHeight="1">
      <x:c r="A106" s="7" t="n">
        <x:v>158</x:v>
      </x:c>
      <x:c r="B106" s="6" t="str">
        <x:v>Pass</x:v>
      </x:c>
      <x:c r="C106" s="6" t="str">
        <x:v>S1:5</x:v>
      </x:c>
      <x:c r="D106" s="7" t="n">
        <x:v>1</x:v>
      </x:c>
      <x:c r="E106" s="6" t="str">
        <x:v>Currency</x:v>
      </x:c>
      <x:c r="F106" s="6" t="str">
        <x:v>Shard</x:v>
      </x:c>
      <x:c r="G106" s="7" t="n">
        <x:v>80</x:v>
      </x:c>
      <x:c r="H106" s="6" t="str">
        <x:v>시즌 1 무료 트랙 레벨 5</x:v>
      </x:c>
    </x:row>
    <x:row r="107" ht="15" hidden="0" customHeight="1">
      <x:c r="A107" s="7" t="n">
        <x:v>159</x:v>
      </x:c>
      <x:c r="B107" s="6" t="str">
        <x:v>Pass</x:v>
      </x:c>
      <x:c r="C107" s="6" t="str">
        <x:v>S1:5</x:v>
      </x:c>
      <x:c r="D107" s="7" t="n">
        <x:v>2</x:v>
      </x:c>
      <x:c r="E107" s="6" t="str">
        <x:v>Pack</x:v>
      </x:c>
      <x:c r="F107" s="6" t="str">
        <x:v>NormalPack_TEST</x:v>
      </x:c>
      <x:c r="G107" s="7" t="n">
        <x:v>1</x:v>
      </x:c>
      <x:c r="H107" s="6" t="str">
        <x:v>시즌 1 무료 트랙 레벨 5; 팩 지급 구현 대기</x:v>
      </x:c>
    </x:row>
    <x:row r="108" ht="15" hidden="0" customHeight="1">
      <x:c r="A108" s="7" t="n">
        <x:v>160</x:v>
      </x:c>
      <x:c r="B108" s="6" t="str">
        <x:v>Pass</x:v>
      </x:c>
      <x:c r="C108" s="6" t="str">
        <x:v>S1:6</x:v>
      </x:c>
      <x:c r="D108" s="7" t="n">
        <x:v>2</x:v>
      </x:c>
      <x:c r="E108" s="6" t="str">
        <x:v>Currency</x:v>
      </x:c>
      <x:c r="F108" s="6" t="str">
        <x:v>RouletteTicket</x:v>
      </x:c>
      <x:c r="G108" s="7" t="n">
        <x:v>2</x:v>
      </x:c>
      <x:c r="H108" s="6" t="str">
        <x:v>시즌 1 무료 트랙 레벨 6</x:v>
      </x:c>
    </x:row>
    <x:row r="109" ht="15" hidden="0" customHeight="1">
      <x:c r="A109" s="7" t="n">
        <x:v>161</x:v>
      </x:c>
      <x:c r="B109" s="6" t="str">
        <x:v>Pass</x:v>
      </x:c>
      <x:c r="C109" s="6" t="str">
        <x:v>S1:8</x:v>
      </x:c>
      <x:c r="D109" s="7" t="n">
        <x:v>1</x:v>
      </x:c>
      <x:c r="E109" s="6" t="str">
        <x:v>Currency</x:v>
      </x:c>
      <x:c r="F109" s="6" t="str">
        <x:v>Diamond</x:v>
      </x:c>
      <x:c r="G109" s="7" t="n">
        <x:v>20</x:v>
      </x:c>
      <x:c r="H109" s="6" t="str">
        <x:v>시즌 1 무료 트랙 레벨 8</x:v>
      </x:c>
    </x:row>
    <x:row r="110" ht="15" hidden="0" customHeight="1">
      <x:c r="A110" s="7" t="n">
        <x:v>163</x:v>
      </x:c>
      <x:c r="B110" s="6" t="str">
        <x:v>Pass</x:v>
      </x:c>
      <x:c r="C110" s="6" t="str">
        <x:v>S1:9</x:v>
      </x:c>
      <x:c r="D110" s="7" t="n">
        <x:v>1</x:v>
      </x:c>
      <x:c r="E110" s="6" t="str">
        <x:v>Currency</x:v>
      </x:c>
      <x:c r="F110" s="6" t="str">
        <x:v>Shard</x:v>
      </x:c>
      <x:c r="G110" s="7" t="n">
        <x:v>120</x:v>
      </x:c>
      <x:c r="H110" s="6" t="str">
        <x:v>시즌 1 무료 트랙 레벨 9</x:v>
      </x:c>
    </x:row>
    <x:row r="111" ht="15" hidden="0" customHeight="1">
      <x:c r="A111" s="7" t="n">
        <x:v>164</x:v>
      </x:c>
      <x:c r="B111" s="6" t="str">
        <x:v>Pass</x:v>
      </x:c>
      <x:c r="C111" s="6" t="str">
        <x:v>S1:9</x:v>
      </x:c>
      <x:c r="D111" s="7" t="n">
        <x:v>2</x:v>
      </x:c>
      <x:c r="E111" s="6" t="str">
        <x:v>Pack</x:v>
      </x:c>
      <x:c r="F111" s="6" t="str">
        <x:v>NormalPack_TEST</x:v>
      </x:c>
      <x:c r="G111" s="7" t="n">
        <x:v>2</x:v>
      </x:c>
      <x:c r="H111" s="6" t="str">
        <x:v>시즌 1 무료 트랙 레벨 9; 팩 지급 구현 대기</x:v>
      </x:c>
    </x:row>
    <x:row r="112" ht="15" hidden="0" customHeight="1">
      <x:c r="A112" s="7" t="n">
        <x:v>165</x:v>
      </x:c>
      <x:c r="B112" s="6" t="str">
        <x:v>Pass</x:v>
      </x:c>
      <x:c r="C112" s="6" t="str">
        <x:v>S1:10</x:v>
      </x:c>
      <x:c r="D112" s="7" t="n">
        <x:v>2</x:v>
      </x:c>
      <x:c r="E112" s="6" t="str">
        <x:v>PackChoice</x:v>
      </x:c>
      <x:c r="F112" s="6" t="str">
        <x:v>UnlockedThemePack</x:v>
      </x:c>
      <x:c r="G112" s="7" t="n">
        <x:v>1</x:v>
      </x:c>
      <x:c r="H112" s="6" t="str">
        <x:v>시즌 1 무료 트랙 레벨 10; 팩 지급 구현 대기</x:v>
      </x:c>
    </x:row>
    <x:row r="113" ht="15" hidden="0" customHeight="1">
      <x:c r="A113" s="7" t="n">
        <x:v>166</x:v>
      </x:c>
      <x:c r="B113" s="6" t="str">
        <x:v>Guide</x:v>
      </x:c>
      <x:c r="C113" s="6" t="str">
        <x:v>guide.02</x:v>
      </x:c>
      <x:c r="D113" s="7" t="n">
        <x:v>1</x:v>
      </x:c>
      <x:c r="E113" s="6" t="str">
        <x:v>Currency</x:v>
      </x:c>
      <x:c r="F113" s="6" t="str">
        <x:v>Shard</x:v>
      </x:c>
      <x:c r="G113" s="7" t="n">
        <x:v>10</x:v>
      </x:c>
      <x:c r="H113" s="6" t="str">
        <x:v>계정당 1회 가이드 지급 구현 대기</x:v>
      </x:c>
    </x:row>
    <x:row r="114" ht="15" hidden="0" customHeight="1">
      <x:c r="A114" s="7" t="n">
        <x:v>167</x:v>
      </x:c>
      <x:c r="B114" s="6" t="str">
        <x:v>Guide</x:v>
      </x:c>
      <x:c r="C114" s="6" t="str">
        <x:v>guide.03</x:v>
      </x:c>
      <x:c r="D114" s="7" t="n">
        <x:v>1</x:v>
      </x:c>
      <x:c r="E114" s="6" t="str">
        <x:v>Currency</x:v>
      </x:c>
      <x:c r="F114" s="6" t="str">
        <x:v>Shard</x:v>
      </x:c>
      <x:c r="G114" s="7" t="n">
        <x:v>10</x:v>
      </x:c>
      <x:c r="H114" s="6" t="str">
        <x:v>계정당 1회 가이드 지급 구현 대기</x:v>
      </x:c>
    </x:row>
    <x:row r="115" ht="24" hidden="0" customHeight="1">
      <x:c r="A115" s="7" t="n">
        <x:v>168</x:v>
      </x:c>
      <x:c r="B115" s="6" t="str">
        <x:v>Guide</x:v>
      </x:c>
      <x:c r="C115" s="6" t="str">
        <x:v>guide.16</x:v>
      </x:c>
      <x:c r="D115" s="7" t="n">
        <x:v>1</x:v>
      </x:c>
      <x:c r="E115" s="6" t="str">
        <x:v>Currency</x:v>
      </x:c>
      <x:c r="F115" s="6" t="str">
        <x:v>Shard</x:v>
      </x:c>
      <x:c r="G115" s="7" t="n">
        <x:v>10</x:v>
      </x:c>
      <x:c r="H115" s="6" t="str">
        <x:v>guide.04 보상을 신규 실전 미션으로 이전; 과거 guide.04 수령 여부와 무관하게 guide.16 계정당 1회 지급</x:v>
      </x:c>
    </x:row>
    <x:row r="116" ht="15" hidden="0" customHeight="1">
      <x:c r="A116" s="7" t="n">
        <x:v>169</x:v>
      </x:c>
      <x:c r="B116" s="6" t="str">
        <x:v>Guide</x:v>
      </x:c>
      <x:c r="C116" s="6" t="str">
        <x:v>guide.06</x:v>
      </x:c>
      <x:c r="D116" s="7" t="n">
        <x:v>1</x:v>
      </x:c>
      <x:c r="E116" s="6" t="str">
        <x:v>Currency</x:v>
      </x:c>
      <x:c r="F116" s="6" t="str">
        <x:v>Gold</x:v>
      </x:c>
      <x:c r="G116" s="7" t="n">
        <x:v>30</x:v>
      </x:c>
      <x:c r="H116" s="6" t="str">
        <x:v>계정당 1회 가이드 지급 구현 대기</x:v>
      </x:c>
    </x:row>
    <x:row r="117" ht="15" hidden="0" customHeight="1">
      <x:c r="A117" s="7" t="n">
        <x:v>170</x:v>
      </x:c>
      <x:c r="B117" s="6" t="str">
        <x:v>Guide</x:v>
      </x:c>
      <x:c r="C117" s="6" t="str">
        <x:v>guide.07</x:v>
      </x:c>
      <x:c r="D117" s="7" t="n">
        <x:v>1</x:v>
      </x:c>
      <x:c r="E117" s="6" t="str">
        <x:v>Currency</x:v>
      </x:c>
      <x:c r="F117" s="6" t="str">
        <x:v>Shard</x:v>
      </x:c>
      <x:c r="G117" s="7" t="n">
        <x:v>10</x:v>
      </x:c>
      <x:c r="H117" s="6" t="str">
        <x:v>계정당 1회 가이드 지급 구현 대기</x:v>
      </x:c>
    </x:row>
    <x:row r="118" ht="15" hidden="0" customHeight="1">
      <x:c r="A118" s="7" t="n">
        <x:v>171</x:v>
      </x:c>
      <x:c r="B118" s="6" t="str">
        <x:v>Guide</x:v>
      </x:c>
      <x:c r="C118" s="6" t="str">
        <x:v>guide.07</x:v>
      </x:c>
      <x:c r="D118" s="7" t="n">
        <x:v>2</x:v>
      </x:c>
      <x:c r="E118" s="6" t="str">
        <x:v>Card</x:v>
      </x:c>
      <x:c r="F118" s="6" t="str">
        <x:v>9</x:v>
      </x:c>
      <x:c r="G118" s="7" t="n">
        <x:v>1</x:v>
      </x:c>
      <x:c r="H118" s="6" t="str">
        <x:v>계정당 1회 가이드 지급 구현 대기</x:v>
      </x:c>
    </x:row>
    <x:row r="119" ht="15" hidden="0" customHeight="1">
      <x:c r="A119" s="7" t="n">
        <x:v>172</x:v>
      </x:c>
      <x:c r="B119" s="6" t="str">
        <x:v>Guide</x:v>
      </x:c>
      <x:c r="C119" s="6" t="str">
        <x:v>guide.08</x:v>
      </x:c>
      <x:c r="D119" s="7" t="n">
        <x:v>1</x:v>
      </x:c>
      <x:c r="E119" s="6" t="str">
        <x:v>Currency</x:v>
      </x:c>
      <x:c r="F119" s="6" t="str">
        <x:v>Shard</x:v>
      </x:c>
      <x:c r="G119" s="7" t="n">
        <x:v>10</x:v>
      </x:c>
      <x:c r="H119" s="6" t="str">
        <x:v>계정당 1회 가이드 지급 구현 대기</x:v>
      </x:c>
    </x:row>
    <x:row r="120" ht="15" hidden="0" customHeight="1">
      <x:c r="A120" s="7" t="n">
        <x:v>173</x:v>
      </x:c>
      <x:c r="B120" s="6" t="str">
        <x:v>Guide</x:v>
      </x:c>
      <x:c r="C120" s="6" t="str">
        <x:v>guide.09</x:v>
      </x:c>
      <x:c r="D120" s="7" t="n">
        <x:v>1</x:v>
      </x:c>
      <x:c r="E120" s="6" t="str">
        <x:v>Currency</x:v>
      </x:c>
      <x:c r="F120" s="6" t="str">
        <x:v>Shard</x:v>
      </x:c>
      <x:c r="G120" s="7" t="n">
        <x:v>25</x:v>
      </x:c>
      <x:c r="H120" s="6" t="str">
        <x:v>계정당 1회 가이드 지급 구현 대기</x:v>
      </x:c>
    </x:row>
    <x:row r="121" ht="15" hidden="0" customHeight="1">
      <x:c r="A121" s="7" t="n">
        <x:v>174</x:v>
      </x:c>
      <x:c r="B121" s="6" t="str">
        <x:v>Guide</x:v>
      </x:c>
      <x:c r="C121" s="6" t="str">
        <x:v>guide.10</x:v>
      </x:c>
      <x:c r="D121" s="7" t="n">
        <x:v>1</x:v>
      </x:c>
      <x:c r="E121" s="6" t="str">
        <x:v>Currency</x:v>
      </x:c>
      <x:c r="F121" s="6" t="str">
        <x:v>Gold</x:v>
      </x:c>
      <x:c r="G121" s="7" t="n">
        <x:v>40</x:v>
      </x:c>
      <x:c r="H121" s="6" t="str">
        <x:v>계정당 1회 가이드 지급 구현 대기</x:v>
      </x:c>
    </x:row>
    <x:row r="122" ht="15" hidden="0" customHeight="1">
      <x:c r="A122" s="7" t="n">
        <x:v>175</x:v>
      </x:c>
      <x:c r="B122" s="6" t="str">
        <x:v>Guide</x:v>
      </x:c>
      <x:c r="C122" s="6" t="str">
        <x:v>guide.11</x:v>
      </x:c>
      <x:c r="D122" s="7" t="n">
        <x:v>1</x:v>
      </x:c>
      <x:c r="E122" s="6" t="str">
        <x:v>Currency</x:v>
      </x:c>
      <x:c r="F122" s="6" t="str">
        <x:v>Shard</x:v>
      </x:c>
      <x:c r="G122" s="7" t="n">
        <x:v>5</x:v>
      </x:c>
      <x:c r="H122" s="6" t="str">
        <x:v>계정당 1회 가이드 지급 구현 대기</x:v>
      </x:c>
    </x:row>
    <x:row r="123" ht="15" hidden="0" customHeight="1">
      <x:c r="A123" s="7" t="n">
        <x:v>176</x:v>
      </x:c>
      <x:c r="B123" s="6" t="str">
        <x:v>Guide</x:v>
      </x:c>
      <x:c r="C123" s="6" t="str">
        <x:v>guide.12</x:v>
      </x:c>
      <x:c r="D123" s="7" t="n">
        <x:v>1</x:v>
      </x:c>
      <x:c r="E123" s="6" t="str">
        <x:v>Currency</x:v>
      </x:c>
      <x:c r="F123" s="6" t="str">
        <x:v>Shard</x:v>
      </x:c>
      <x:c r="G123" s="7" t="n">
        <x:v>10</x:v>
      </x:c>
      <x:c r="H123" s="6" t="str">
        <x:v>계정당 1회 가이드 지급 구현 대기</x:v>
      </x:c>
    </x:row>
    <x:row r="124" ht="15" hidden="0" customHeight="1">
      <x:c r="A124" s="7" t="n">
        <x:v>177</x:v>
      </x:c>
      <x:c r="B124" s="6" t="str">
        <x:v>Guide</x:v>
      </x:c>
      <x:c r="C124" s="6" t="str">
        <x:v>guide.13</x:v>
      </x:c>
      <x:c r="D124" s="7" t="n">
        <x:v>1</x:v>
      </x:c>
      <x:c r="E124" s="6" t="str">
        <x:v>Currency</x:v>
      </x:c>
      <x:c r="F124" s="6" t="str">
        <x:v>Shard</x:v>
      </x:c>
      <x:c r="G124" s="7" t="n">
        <x:v>20</x:v>
      </x:c>
      <x:c r="H124" s="6" t="str">
        <x:v>계정당 1회 가이드 지급 구현 대기</x:v>
      </x:c>
    </x:row>
    <x:row r="125" ht="15" hidden="0" customHeight="1">
      <x:c r="A125" s="7" t="n">
        <x:v>178</x:v>
      </x:c>
      <x:c r="B125" s="6" t="str">
        <x:v>Guide</x:v>
      </x:c>
      <x:c r="C125" s="6" t="str">
        <x:v>guide.14</x:v>
      </x:c>
      <x:c r="D125" s="7" t="n">
        <x:v>1</x:v>
      </x:c>
      <x:c r="E125" s="6" t="str">
        <x:v>Pack</x:v>
      </x:c>
      <x:c r="F125" s="6" t="str">
        <x:v>NormalPack_TEST</x:v>
      </x:c>
      <x:c r="G125" s="7" t="n">
        <x:v>1</x:v>
      </x:c>
      <x:c r="H125" s="6" t="str">
        <x:v>계정당 1회 가이드 지급 구현 대기</x:v>
      </x:c>
    </x:row>
    <x:row r="126" ht="15" hidden="0" customHeight="1">
      <x:c r="A126" s="7" t="n">
        <x:v>179</x:v>
      </x:c>
      <x:c r="B126" s="6" t="str">
        <x:v>Guide</x:v>
      </x:c>
      <x:c r="C126" s="6" t="str">
        <x:v>guide.15</x:v>
      </x:c>
      <x:c r="D126" s="7" t="n">
        <x:v>1</x:v>
      </x:c>
      <x:c r="E126" s="6" t="str">
        <x:v>Currency</x:v>
      </x:c>
      <x:c r="F126" s="6" t="str">
        <x:v>Diamond</x:v>
      </x:c>
      <x:c r="G126" s="7" t="n">
        <x:v>10</x:v>
      </x:c>
      <x:c r="H126" s="6" t="str">
        <x:v>계정당 1회 가이드 지급 구현 대기</x:v>
      </x:c>
    </x:row>
    <x:row r="127" ht="15" hidden="0" customHeight="1">
      <x:c r="A127" s="7" t="n">
        <x:v>180</x:v>
      </x:c>
      <x:c r="B127" s="6" t="str">
        <x:v>Guide</x:v>
      </x:c>
      <x:c r="C127" s="6" t="str">
        <x:v>guide.15</x:v>
      </x:c>
      <x:c r="D127" s="7" t="n">
        <x:v>2</x:v>
      </x:c>
      <x:c r="E127" s="6" t="str">
        <x:v>Currency</x:v>
      </x:c>
      <x:c r="F127" s="6" t="str">
        <x:v>RouletteTicket</x:v>
      </x:c>
      <x:c r="G127" s="7" t="n">
        <x:v>1</x:v>
      </x:c>
      <x:c r="H127" s="6" t="str">
        <x:v>계정당 1회 가이드 지급 구현 대기</x:v>
      </x:c>
    </x:row>
    <x:row r="128" ht="15" hidden="0" customHeight="1">
      <x:c r="A128" s="7" t="n">
        <x:v>181</x:v>
      </x:c>
      <x:c r="B128" s="6" t="str">
        <x:v>CardDuplicate</x:v>
      </x:c>
      <x:c r="C128" s="6" t="str">
        <x:v>Common</x:v>
      </x:c>
      <x:c r="D128" s="7" t="n">
        <x:v>1</x:v>
      </x:c>
      <x:c r="E128" s="6" t="str">
        <x:v>Currency</x:v>
      </x:c>
      <x:c r="F128" s="6" t="str">
        <x:v>Shard</x:v>
      </x:c>
      <x:c r="G128" s="7" t="n">
        <x:v>1</x:v>
      </x:c>
      <x:c r="H128" s="6" t="str">
        <x:v>중복 추가 조각 구현 대기; 기존 간식1 유지; 0원 튜토리얼팩 제외</x:v>
      </x:c>
    </x:row>
    <x:row r="129" ht="15" hidden="0" customHeight="1">
      <x:c r="A129" s="7" t="n">
        <x:v>182</x:v>
      </x:c>
      <x:c r="B129" s="6" t="str">
        <x:v>CardDuplicate</x:v>
      </x:c>
      <x:c r="C129" s="6" t="str">
        <x:v>Rare</x:v>
      </x:c>
      <x:c r="D129" s="7" t="n">
        <x:v>1</x:v>
      </x:c>
      <x:c r="E129" s="6" t="str">
        <x:v>Currency</x:v>
      </x:c>
      <x:c r="F129" s="6" t="str">
        <x:v>Shard</x:v>
      </x:c>
      <x:c r="G129" s="7" t="n">
        <x:v>2</x:v>
      </x:c>
      <x:c r="H129" s="6" t="str">
        <x:v>중복 추가 조각 구현 대기; 기존 간식1 유지; 0원 튜토리얼팩 제외</x:v>
      </x:c>
    </x:row>
    <x:row r="130" ht="15" hidden="0" customHeight="1">
      <x:c r="A130" s="7" t="n">
        <x:v>183</x:v>
      </x:c>
      <x:c r="B130" s="6" t="str">
        <x:v>CardDuplicate</x:v>
      </x:c>
      <x:c r="C130" s="6" t="str">
        <x:v>Arcane</x:v>
      </x:c>
      <x:c r="D130" s="7" t="n">
        <x:v>1</x:v>
      </x:c>
      <x:c r="E130" s="6" t="str">
        <x:v>Currency</x:v>
      </x:c>
      <x:c r="F130" s="6" t="str">
        <x:v>Shard</x:v>
      </x:c>
      <x:c r="G130" s="7" t="n">
        <x:v>5</x:v>
      </x:c>
      <x:c r="H130" s="6" t="str">
        <x:v>중복 추가 조각 구현 대기; 기존 간식1 유지; 0원 튜토리얼팩 제외</x:v>
      </x:c>
    </x:row>
    <x:row r="131" ht="15" hidden="0" customHeight="1">
      <x:c r="A131" s="7" t="n">
        <x:v>184</x:v>
      </x:c>
      <x:c r="B131" s="6" t="str">
        <x:v>CardDuplicate</x:v>
      </x:c>
      <x:c r="C131" s="6" t="str">
        <x:v>Mythic</x:v>
      </x:c>
      <x:c r="D131" s="7" t="n">
        <x:v>1</x:v>
      </x:c>
      <x:c r="E131" s="6" t="str">
        <x:v>Currency</x:v>
      </x:c>
      <x:c r="F131" s="6" t="str">
        <x:v>Shard</x:v>
      </x:c>
      <x:c r="G131" s="7" t="n">
        <x:v>10</x:v>
      </x:c>
      <x:c r="H131" s="6" t="str">
        <x:v>중복 추가 조각 구현 대기; 기존 간식1 유지; 0원 튜토리얼팩 제외</x:v>
      </x:c>
    </x:row>
    <x:row r="132" ht="15" hidden="0" customHeight="1">
      <x:c r="A132" s="7" t="n">
        <x:v>185</x:v>
      </x:c>
      <x:c r="B132" s="6" t="str">
        <x:v>Mission</x:v>
      </x:c>
      <x:c r="C132" s="6" t="str">
        <x:v>daily.completeMissions5</x:v>
      </x:c>
      <x:c r="D132" s="7" t="n">
        <x:v>1</x:v>
      </x:c>
      <x:c r="E132" s="6" t="str">
        <x:v>Currency</x:v>
      </x:c>
      <x:c r="F132" s="6" t="str">
        <x:v>RouletteTicket</x:v>
      </x:c>
      <x:c r="G132" s="7" t="n">
        <x:v>1</x:v>
      </x:c>
      <x:c r="H132" s="6" t="str">
        <x:v>일일 미션 5개 완료 추가 보상</x:v>
      </x:c>
    </x:row>
    <x:row r="133" ht="15" hidden="0" customHeight="1">
      <x:c r="A133" s="7" t="n">
        <x:v>186</x:v>
      </x:c>
      <x:c r="B133" s="6" t="str">
        <x:v>Mission</x:v>
      </x:c>
      <x:c r="C133" s="6" t="str">
        <x:v>daily.completeMissions5</x:v>
      </x:c>
      <x:c r="D133" s="7" t="n">
        <x:v>2</x:v>
      </x:c>
      <x:c r="E133" s="6" t="str">
        <x:v>Currency</x:v>
      </x:c>
      <x:c r="F133" s="6" t="str">
        <x:v>Diamond</x:v>
      </x:c>
      <x:c r="G133" s="7" t="n">
        <x:v>10</x:v>
      </x:c>
      <x:c r="H133" s="6" t="str">
        <x:v>일일 미션 5개 완료 추가 보상</x:v>
      </x:c>
    </x:row>
    <x:row r="134" ht="15" hidden="0" customHeight="1">
      <x:c r="A134" s="7" t="n">
        <x:v>187</x:v>
      </x:c>
      <x:c r="B134" s="6" t="str">
        <x:v>Mission</x:v>
      </x:c>
      <x:c r="C134" s="6" t="str">
        <x:v>weekly.completeMissions5</x:v>
      </x:c>
      <x:c r="D134" s="7" t="n">
        <x:v>1</x:v>
      </x:c>
      <x:c r="E134" s="6" t="str">
        <x:v>Currency</x:v>
      </x:c>
      <x:c r="F134" s="6" t="str">
        <x:v>RouletteTicket</x:v>
      </x:c>
      <x:c r="G134" s="7" t="n">
        <x:v>3</x:v>
      </x:c>
      <x:c r="H134" s="6" t="str">
        <x:v>주간 미션 5개 완료 추가 보상</x:v>
      </x:c>
    </x:row>
    <x:row r="135" ht="15" hidden="0" customHeight="1">
      <x:c r="A135" s="7" t="n">
        <x:v>188</x:v>
      </x:c>
      <x:c r="B135" s="6" t="str">
        <x:v>Mission</x:v>
      </x:c>
      <x:c r="C135" s="6" t="str">
        <x:v>weekly.completeMissions5</x:v>
      </x:c>
      <x:c r="D135" s="7" t="n">
        <x:v>2</x:v>
      </x:c>
      <x:c r="E135" s="6" t="str">
        <x:v>Currency</x:v>
      </x:c>
      <x:c r="F135" s="6" t="str">
        <x:v>Diamond</x:v>
      </x:c>
      <x:c r="G135" s="7" t="n">
        <x:v>30</x:v>
      </x:c>
      <x:c r="H135" s="6" t="str">
        <x:v>주간 미션 5개 완료 추가 보상</x:v>
      </x:c>
    </x:row>
    <x:row r="136" ht="15" hidden="0" customHeight="1">
      <x:c r="A136" s="7" t="n">
        <x:v>189</x:v>
      </x:c>
      <x:c r="B136" s="6" t="str">
        <x:v>Pass</x:v>
      </x:c>
      <x:c r="C136" s="6" t="str">
        <x:v>S1:repeat</x:v>
      </x:c>
      <x:c r="D136" s="7" t="n">
        <x:v>1</x:v>
      </x:c>
      <x:c r="E136" s="6" t="str">
        <x:v>Currency</x:v>
      </x:c>
      <x:c r="F136" s="6" t="str">
        <x:v>Gold</x:v>
      </x:c>
      <x:c r="G136" s="7" t="n">
        <x:v>100</x:v>
      </x:c>
      <x:c r="H136" s="6" t="str">
        <x:v>만렙 이후 마지막 레벨 간격 EXP마다 반복 보상</x:v>
      </x:c>
    </x:row>
    <x:row r="137" ht="15" hidden="0" customHeight="1">
      <x:c r="A137" s="7" t="n">
        <x:v>190</x:v>
      </x:c>
      <x:c r="B137" s="6" t="str">
        <x:v>Pass</x:v>
      </x:c>
      <x:c r="C137" s="6" t="str">
        <x:v>S1:premium:1</x:v>
      </x:c>
      <x:c r="D137" s="7" t="n">
        <x:v>1</x:v>
      </x:c>
      <x:c r="E137" s="6" t="str">
        <x:v>Currency</x:v>
      </x:c>
      <x:c r="F137" s="6" t="str">
        <x:v>Gold</x:v>
      </x:c>
      <x:c r="G137" s="7" t="n">
        <x:v>400</x:v>
      </x:c>
      <x:c r="H137" s="6" t="str">
        <x:v>시즌 1 프리미엄 트랙 레벨 1</x:v>
      </x:c>
    </x:row>
    <x:row r="138" ht="15" hidden="0" customHeight="1">
      <x:c r="A138" s="7" t="n">
        <x:v>191</x:v>
      </x:c>
      <x:c r="B138" s="6" t="str">
        <x:v>Pass</x:v>
      </x:c>
      <x:c r="C138" s="6" t="str">
        <x:v>S1:premium:2</x:v>
      </x:c>
      <x:c r="D138" s="7" t="n">
        <x:v>1</x:v>
      </x:c>
      <x:c r="E138" s="6" t="str">
        <x:v>Currency</x:v>
      </x:c>
      <x:c r="F138" s="6" t="str">
        <x:v>Shard</x:v>
      </x:c>
      <x:c r="G138" s="7" t="n">
        <x:v>120</x:v>
      </x:c>
      <x:c r="H138" s="6" t="str">
        <x:v>시즌 1 프리미엄 트랙 레벨 2</x:v>
      </x:c>
    </x:row>
    <x:row r="139" ht="15" hidden="0" customHeight="1">
      <x:c r="A139" s="7" t="n">
        <x:v>192</x:v>
      </x:c>
      <x:c r="B139" s="6" t="str">
        <x:v>Pass</x:v>
      </x:c>
      <x:c r="C139" s="6" t="str">
        <x:v>S1:premium:3</x:v>
      </x:c>
      <x:c r="D139" s="7" t="n">
        <x:v>1</x:v>
      </x:c>
      <x:c r="E139" s="6" t="str">
        <x:v>Pack</x:v>
      </x:c>
      <x:c r="F139" s="6" t="str">
        <x:v>NormalPack_TEST</x:v>
      </x:c>
      <x:c r="G139" s="7" t="n">
        <x:v>2</x:v>
      </x:c>
      <x:c r="H139" s="6" t="str">
        <x:v>시즌 1 프리미엄 트랙 레벨 3</x:v>
      </x:c>
    </x:row>
    <x:row r="140" ht="15" hidden="0" customHeight="1">
      <x:c r="A140" s="7" t="n">
        <x:v>193</x:v>
      </x:c>
      <x:c r="B140" s="6" t="str">
        <x:v>Pass</x:v>
      </x:c>
      <x:c r="C140" s="6" t="str">
        <x:v>S1:premium:3</x:v>
      </x:c>
      <x:c r="D140" s="7" t="n">
        <x:v>2</x:v>
      </x:c>
      <x:c r="E140" s="6" t="str">
        <x:v>Currency</x:v>
      </x:c>
      <x:c r="F140" s="6" t="str">
        <x:v>RouletteTicket</x:v>
      </x:c>
      <x:c r="G140" s="7" t="n">
        <x:v>4</x:v>
      </x:c>
      <x:c r="H140" s="6" t="str">
        <x:v>시즌 1 프리미엄 트랙 레벨 3</x:v>
      </x:c>
    </x:row>
    <x:row r="141" ht="15" hidden="0" customHeight="1">
      <x:c r="A141" s="7" t="n">
        <x:v>194</x:v>
      </x:c>
      <x:c r="B141" s="6" t="str">
        <x:v>Pass</x:v>
      </x:c>
      <x:c r="C141" s="6" t="str">
        <x:v>S1:premium:4</x:v>
      </x:c>
      <x:c r="D141" s="7" t="n">
        <x:v>1</x:v>
      </x:c>
      <x:c r="E141" s="6" t="str">
        <x:v>Currency</x:v>
      </x:c>
      <x:c r="F141" s="6" t="str">
        <x:v>Diamond</x:v>
      </x:c>
      <x:c r="G141" s="7" t="n">
        <x:v>20</x:v>
      </x:c>
      <x:c r="H141" s="6" t="str">
        <x:v>시즌 1 프리미엄 트랙 레벨 4</x:v>
      </x:c>
    </x:row>
    <x:row r="142" ht="15" hidden="0" customHeight="1">
      <x:c r="A142" s="7" t="n">
        <x:v>195</x:v>
      </x:c>
      <x:c r="B142" s="6" t="str">
        <x:v>Pass</x:v>
      </x:c>
      <x:c r="C142" s="6" t="str">
        <x:v>S1:premium:5</x:v>
      </x:c>
      <x:c r="D142" s="7" t="n">
        <x:v>1</x:v>
      </x:c>
      <x:c r="E142" s="6" t="str">
        <x:v>Currency</x:v>
      </x:c>
      <x:c r="F142" s="6" t="str">
        <x:v>Shard</x:v>
      </x:c>
      <x:c r="G142" s="7" t="n">
        <x:v>160</x:v>
      </x:c>
      <x:c r="H142" s="6" t="str">
        <x:v>시즌 1 프리미엄 트랙 레벨 5</x:v>
      </x:c>
    </x:row>
    <x:row r="143" ht="15" hidden="0" customHeight="1">
      <x:c r="A143" s="7" t="n">
        <x:v>196</x:v>
      </x:c>
      <x:c r="B143" s="6" t="str">
        <x:v>Pass</x:v>
      </x:c>
      <x:c r="C143" s="6" t="str">
        <x:v>S1:premium:5</x:v>
      </x:c>
      <x:c r="D143" s="7" t="n">
        <x:v>2</x:v>
      </x:c>
      <x:c r="E143" s="6" t="str">
        <x:v>Pack</x:v>
      </x:c>
      <x:c r="F143" s="6" t="str">
        <x:v>NormalPack_TEST</x:v>
      </x:c>
      <x:c r="G143" s="7" t="n">
        <x:v>2</x:v>
      </x:c>
      <x:c r="H143" s="6" t="str">
        <x:v>시즌 1 프리미엄 트랙 레벨 5</x:v>
      </x:c>
    </x:row>
    <x:row r="144" ht="15" hidden="0" customHeight="1">
      <x:c r="A144" s="7" t="n">
        <x:v>197</x:v>
      </x:c>
      <x:c r="B144" s="6" t="str">
        <x:v>Pass</x:v>
      </x:c>
      <x:c r="C144" s="6" t="str">
        <x:v>S1:premium:6</x:v>
      </x:c>
      <x:c r="D144" s="7" t="n">
        <x:v>1</x:v>
      </x:c>
      <x:c r="E144" s="6" t="str">
        <x:v>Currency</x:v>
      </x:c>
      <x:c r="F144" s="6" t="str">
        <x:v>Gold</x:v>
      </x:c>
      <x:c r="G144" s="7" t="n">
        <x:v>600</x:v>
      </x:c>
      <x:c r="H144" s="6" t="str">
        <x:v>시즌 1 프리미엄 트랙 레벨 6</x:v>
      </x:c>
    </x:row>
    <x:row r="145" ht="15" hidden="0" customHeight="1">
      <x:c r="A145" s="7" t="n">
        <x:v>198</x:v>
      </x:c>
      <x:c r="B145" s="6" t="str">
        <x:v>Pass</x:v>
      </x:c>
      <x:c r="C145" s="6" t="str">
        <x:v>S1:premium:6</x:v>
      </x:c>
      <x:c r="D145" s="7" t="n">
        <x:v>2</x:v>
      </x:c>
      <x:c r="E145" s="6" t="str">
        <x:v>Currency</x:v>
      </x:c>
      <x:c r="F145" s="6" t="str">
        <x:v>RouletteTicket</x:v>
      </x:c>
      <x:c r="G145" s="7" t="n">
        <x:v>4</x:v>
      </x:c>
      <x:c r="H145" s="6" t="str">
        <x:v>시즌 1 프리미엄 트랙 레벨 6</x:v>
      </x:c>
    </x:row>
    <x:row r="146" ht="15" hidden="0" customHeight="1">
      <x:c r="A146" s="7" t="n">
        <x:v>199</x:v>
      </x:c>
      <x:c r="B146" s="6" t="str">
        <x:v>Pass</x:v>
      </x:c>
      <x:c r="C146" s="6" t="str">
        <x:v>S1:premium:7</x:v>
      </x:c>
      <x:c r="D146" s="7" t="n">
        <x:v>1</x:v>
      </x:c>
      <x:c r="E146" s="6" t="str">
        <x:v>Currency</x:v>
      </x:c>
      <x:c r="F146" s="6" t="str">
        <x:v>Shard</x:v>
      </x:c>
      <x:c r="G146" s="7" t="n">
        <x:v>200</x:v>
      </x:c>
      <x:c r="H146" s="6" t="str">
        <x:v>시즌 1 프리미엄 트랙 레벨 7</x:v>
      </x:c>
    </x:row>
    <x:row r="147" ht="15" hidden="0" customHeight="1">
      <x:c r="A147" s="7" t="n">
        <x:v>200</x:v>
      </x:c>
      <x:c r="B147" s="6" t="str">
        <x:v>Pass</x:v>
      </x:c>
      <x:c r="C147" s="6" t="str">
        <x:v>S1:premium:8</x:v>
      </x:c>
      <x:c r="D147" s="7" t="n">
        <x:v>1</x:v>
      </x:c>
      <x:c r="E147" s="6" t="str">
        <x:v>Currency</x:v>
      </x:c>
      <x:c r="F147" s="6" t="str">
        <x:v>Diamond</x:v>
      </x:c>
      <x:c r="G147" s="7" t="n">
        <x:v>40</x:v>
      </x:c>
      <x:c r="H147" s="6" t="str">
        <x:v>시즌 1 프리미엄 트랙 레벨 8</x:v>
      </x:c>
    </x:row>
    <x:row r="148" ht="15" hidden="0" customHeight="1">
      <x:c r="A148" s="7" t="n">
        <x:v>201</x:v>
      </x:c>
      <x:c r="B148" s="6" t="str">
        <x:v>Pass</x:v>
      </x:c>
      <x:c r="C148" s="6" t="str">
        <x:v>S1:premium:9</x:v>
      </x:c>
      <x:c r="D148" s="7" t="n">
        <x:v>1</x:v>
      </x:c>
      <x:c r="E148" s="6" t="str">
        <x:v>Currency</x:v>
      </x:c>
      <x:c r="F148" s="6" t="str">
        <x:v>Shard</x:v>
      </x:c>
      <x:c r="G148" s="7" t="n">
        <x:v>240</x:v>
      </x:c>
      <x:c r="H148" s="6" t="str">
        <x:v>시즌 1 프리미엄 트랙 레벨 9</x:v>
      </x:c>
    </x:row>
    <x:row r="149" ht="15" hidden="0" customHeight="1">
      <x:c r="A149" s="7" t="n">
        <x:v>202</x:v>
      </x:c>
      <x:c r="B149" s="6" t="str">
        <x:v>Pass</x:v>
      </x:c>
      <x:c r="C149" s="6" t="str">
        <x:v>S1:premium:9</x:v>
      </x:c>
      <x:c r="D149" s="7" t="n">
        <x:v>2</x:v>
      </x:c>
      <x:c r="E149" s="6" t="str">
        <x:v>Pack</x:v>
      </x:c>
      <x:c r="F149" s="6" t="str">
        <x:v>NormalPack_TEST</x:v>
      </x:c>
      <x:c r="G149" s="7" t="n">
        <x:v>4</x:v>
      </x:c>
      <x:c r="H149" s="6" t="str">
        <x:v>시즌 1 프리미엄 트랙 레벨 9</x:v>
      </x:c>
    </x:row>
    <x:row r="150" ht="15" hidden="0" customHeight="1">
      <x:c r="A150" s="7" t="n">
        <x:v>203</x:v>
      </x:c>
      <x:c r="B150" s="6" t="str">
        <x:v>Pass</x:v>
      </x:c>
      <x:c r="C150" s="6" t="str">
        <x:v>S1:premium:10</x:v>
      </x:c>
      <x:c r="D150" s="7" t="n">
        <x:v>1</x:v>
      </x:c>
      <x:c r="E150" s="6" t="str">
        <x:v>Currency</x:v>
      </x:c>
      <x:c r="F150" s="6" t="str">
        <x:v>Diamond</x:v>
      </x:c>
      <x:c r="G150" s="7" t="n">
        <x:v>100</x:v>
      </x:c>
      <x:c r="H150" s="6" t="str">
        <x:v>시즌 1 프리미엄 트랙 레벨 10</x:v>
      </x:c>
    </x:row>
    <x:row r="151" ht="15" hidden="0" customHeight="1">
      <x:c r="A151" s="7" t="n">
        <x:v>204</x:v>
      </x:c>
      <x:c r="B151" s="6" t="str">
        <x:v>Pass</x:v>
      </x:c>
      <x:c r="C151" s="6" t="str">
        <x:v>S1:premium:10</x:v>
      </x:c>
      <x:c r="D151" s="7" t="n">
        <x:v>2</x:v>
      </x:c>
      <x:c r="E151" s="6" t="str">
        <x:v>PackChoice</x:v>
      </x:c>
      <x:c r="F151" s="6" t="str">
        <x:v>UnlockedThemePack</x:v>
      </x:c>
      <x:c r="G151" s="7" t="n">
        <x:v>2</x:v>
      </x:c>
      <x:c r="H151" s="6" t="str">
        <x:v>시즌 1 프리미엄 트랙 레벨 10</x:v>
      </x:c>
    </x:row>
    <x:row r="152" ht="15" hidden="0" customHeight="1">
      <x:c r="A152" s="7" t="n">
        <x:v>205</x:v>
      </x:c>
      <x:c r="B152" s="6" t="str">
        <x:v>Guide</x:v>
      </x:c>
      <x:c r="C152" s="6" t="str">
        <x:v>guide.01</x:v>
      </x:c>
      <x:c r="D152" s="7" t="n">
        <x:v>1</x:v>
      </x:c>
      <x:c r="E152" s="6" t="str">
        <x:v>Currency</x:v>
      </x:c>
      <x:c r="F152" s="6" t="str">
        <x:v>Shard</x:v>
      </x:c>
      <x:c r="G152" s="7" t="n">
        <x:v>10</x:v>
      </x:c>
      <x:c r="H152" s="6" t="str">
        <x:v>카드 강화 완료 가이드; 계정당 1회</x:v>
      </x:c>
    </x:row>
    <x:row r="153" ht="15" hidden="0" customHeight="1">
      <x:c r="A153" s="7" t="n">
        <x:v>206</x:v>
      </x:c>
      <x:c r="B153" s="6" t="str">
        <x:v>Guide</x:v>
      </x:c>
      <x:c r="C153" s="6" t="str">
        <x:v>guide.05</x:v>
      </x:c>
      <x:c r="D153" s="7" t="n">
        <x:v>1</x:v>
      </x:c>
      <x:c r="E153" s="6" t="str">
        <x:v>Currency</x:v>
      </x:c>
      <x:c r="F153" s="6" t="str">
        <x:v>Shard</x:v>
      </x:c>
      <x:c r="G153" s="7" t="n">
        <x:v>10</x:v>
      </x:c>
      <x:c r="H153" s="6" t="str">
        <x:v>카드 진화 완료 가이드; 계정당 1회</x:v>
      </x:c>
    </x:row>
    <x:row r="154" ht="15" hidden="0" customHeight="1">
      <x:c r="A154" s="7" t="n">
        <x:v>207</x:v>
      </x:c>
      <x:c r="B154" s="6" t="str">
        <x:v>Album</x:v>
      </x:c>
      <x:c r="C154" s="6" t="str">
        <x:v>p:Theme_Nature/P1</x:v>
      </x:c>
      <x:c r="D154" s="7" t="n">
        <x:v>1</x:v>
      </x:c>
      <x:c r="E154" s="6" t="str">
        <x:v>Currency</x:v>
      </x:c>
      <x:c r="F154" s="6" t="str">
        <x:v>Energy</x:v>
      </x:c>
      <x:c r="G154" s="7" t="n">
        <x:v>10</x:v>
      </x:c>
      <x:c r="H154" s="6" t="str">
        <x:v>자연 테마 P1 페이지 완성</x:v>
      </x:c>
    </x:row>
    <x:row r="155" ht="15" hidden="0" customHeight="1">
      <x:c r="A155" s="7" t="n">
        <x:v>208</x:v>
      </x:c>
      <x:c r="B155" s="6" t="str">
        <x:v>Album</x:v>
      </x:c>
      <x:c r="C155" s="6" t="str">
        <x:v>p:Theme_Nature/P2</x:v>
      </x:c>
      <x:c r="D155" s="7" t="n">
        <x:v>1</x:v>
      </x:c>
      <x:c r="E155" s="6" t="str">
        <x:v>Currency</x:v>
      </x:c>
      <x:c r="F155" s="6" t="str">
        <x:v>Energy</x:v>
      </x:c>
      <x:c r="G155" s="7" t="n">
        <x:v>10</x:v>
      </x:c>
      <x:c r="H155" s="6" t="str">
        <x:v>자연 테마 P2 페이지 완성</x:v>
      </x:c>
    </x:row>
    <x:row r="156" ht="15" hidden="0" customHeight="1">
      <x:c r="A156" s="7" t="n">
        <x:v>209</x:v>
      </x:c>
      <x:c r="B156" s="6" t="str">
        <x:v>Album</x:v>
      </x:c>
      <x:c r="C156" s="6" t="str">
        <x:v>p:Theme_Nature/P3</x:v>
      </x:c>
      <x:c r="D156" s="7" t="n">
        <x:v>1</x:v>
      </x:c>
      <x:c r="E156" s="6" t="str">
        <x:v>Currency</x:v>
      </x:c>
      <x:c r="F156" s="6" t="str">
        <x:v>Energy</x:v>
      </x:c>
      <x:c r="G156" s="7" t="n">
        <x:v>10</x:v>
      </x:c>
      <x:c r="H156" s="6" t="str">
        <x:v>자연 테마 P3 페이지 완성</x:v>
      </x:c>
    </x:row>
    <x:row r="157" ht="15" hidden="0" customHeight="1">
      <x:c r="A157" s="7" t="n">
        <x:v>210</x:v>
      </x:c>
      <x:c r="B157" s="6" t="str">
        <x:v>Album</x:v>
      </x:c>
      <x:c r="C157" s="6" t="str">
        <x:v>p:Theme_Nature/P4</x:v>
      </x:c>
      <x:c r="D157" s="7" t="n">
        <x:v>1</x:v>
      </x:c>
      <x:c r="E157" s="6" t="str">
        <x:v>Currency</x:v>
      </x:c>
      <x:c r="F157" s="6" t="str">
        <x:v>Energy</x:v>
      </x:c>
      <x:c r="G157" s="7" t="n">
        <x:v>10</x:v>
      </x:c>
      <x:c r="H157" s="6" t="str">
        <x:v>자연 테마 P4 페이지 완성</x:v>
      </x:c>
    </x:row>
    <x:row r="158" ht="15" hidden="0" customHeight="1">
      <x:c r="A158" s="7" t="n">
        <x:v>211</x:v>
      </x:c>
      <x:c r="B158" s="6" t="str">
        <x:v>Album</x:v>
      </x:c>
      <x:c r="C158" s="6" t="str">
        <x:v>p:Theme_Nature/P5</x:v>
      </x:c>
      <x:c r="D158" s="7" t="n">
        <x:v>1</x:v>
      </x:c>
      <x:c r="E158" s="6" t="str">
        <x:v>Currency</x:v>
      </x:c>
      <x:c r="F158" s="6" t="str">
        <x:v>Energy</x:v>
      </x:c>
      <x:c r="G158" s="7" t="n">
        <x:v>10</x:v>
      </x:c>
      <x:c r="H158" s="6" t="str">
        <x:v>자연 테마 P5 페이지 완성</x:v>
      </x:c>
    </x:row>
    <x:row r="159" ht="15" hidden="0" customHeight="1">
      <x:c r="A159" s="7" t="n">
        <x:v>212</x:v>
      </x:c>
      <x:c r="B159" s="6" t="str">
        <x:v>Attendance</x:v>
      </x:c>
      <x:c r="C159" s="6" t="str">
        <x:v>day_1</x:v>
      </x:c>
      <x:c r="D159" s="7" t="n">
        <x:v>1</x:v>
      </x:c>
      <x:c r="E159" s="6" t="str">
        <x:v>Currency</x:v>
      </x:c>
      <x:c r="F159" s="6" t="str">
        <x:v>Gold</x:v>
      </x:c>
      <x:c r="G159" s="7" t="n">
        <x:v>110</x:v>
      </x:c>
      <x:c r="H159" s="6" t="str">
        <x:v>7일 누적 출석 1일차</x:v>
      </x:c>
    </x:row>
    <x:row r="160" ht="15" hidden="0" customHeight="1">
      <x:c r="A160" s="7" t="n">
        <x:v>213</x:v>
      </x:c>
      <x:c r="B160" s="6" t="str">
        <x:v>Attendance</x:v>
      </x:c>
      <x:c r="C160" s="6" t="str">
        <x:v>day_2</x:v>
      </x:c>
      <x:c r="D160" s="7" t="n">
        <x:v>1</x:v>
      </x:c>
      <x:c r="E160" s="6" t="str">
        <x:v>Currency</x:v>
      </x:c>
      <x:c r="F160" s="6" t="str">
        <x:v>Shard</x:v>
      </x:c>
      <x:c r="G160" s="7" t="n">
        <x:v>30</x:v>
      </x:c>
      <x:c r="H160" s="6" t="str">
        <x:v>7일 누적 출석 2일차</x:v>
      </x:c>
    </x:row>
    <x:row r="161" ht="15" hidden="0" customHeight="1">
      <x:c r="A161" s="7" t="n">
        <x:v>214</x:v>
      </x:c>
      <x:c r="B161" s="6" t="str">
        <x:v>Attendance</x:v>
      </x:c>
      <x:c r="C161" s="6" t="str">
        <x:v>day_3</x:v>
      </x:c>
      <x:c r="D161" s="7" t="n">
        <x:v>1</x:v>
      </x:c>
      <x:c r="E161" s="6" t="str">
        <x:v>Currency</x:v>
      </x:c>
      <x:c r="F161" s="6" t="str">
        <x:v>Energy</x:v>
      </x:c>
      <x:c r="G161" s="7" t="n">
        <x:v>10</x:v>
      </x:c>
      <x:c r="H161" s="6" t="str">
        <x:v>7일 누적 출석 3일차</x:v>
      </x:c>
    </x:row>
    <x:row r="162" ht="15" hidden="0" customHeight="1">
      <x:c r="A162" s="7" t="n">
        <x:v>215</x:v>
      </x:c>
      <x:c r="B162" s="6" t="str">
        <x:v>Attendance</x:v>
      </x:c>
      <x:c r="C162" s="6" t="str">
        <x:v>day_4</x:v>
      </x:c>
      <x:c r="D162" s="7" t="n">
        <x:v>1</x:v>
      </x:c>
      <x:c r="E162" s="6" t="str">
        <x:v>Currency</x:v>
      </x:c>
      <x:c r="F162" s="6" t="str">
        <x:v>Gold</x:v>
      </x:c>
      <x:c r="G162" s="7" t="n">
        <x:v>220</x:v>
      </x:c>
      <x:c r="H162" s="6" t="str">
        <x:v>7일 누적 출석 4일차</x:v>
      </x:c>
    </x:row>
    <x:row r="163" ht="15" hidden="0" customHeight="1">
      <x:c r="A163" s="7" t="n">
        <x:v>216</x:v>
      </x:c>
      <x:c r="B163" s="6" t="str">
        <x:v>Attendance</x:v>
      </x:c>
      <x:c r="C163" s="6" t="str">
        <x:v>day_5</x:v>
      </x:c>
      <x:c r="D163" s="7" t="n">
        <x:v>1</x:v>
      </x:c>
      <x:c r="E163" s="6" t="str">
        <x:v>Currency</x:v>
      </x:c>
      <x:c r="F163" s="6" t="str">
        <x:v>Shard</x:v>
      </x:c>
      <x:c r="G163" s="7" t="n">
        <x:v>60</x:v>
      </x:c>
      <x:c r="H163" s="6" t="str">
        <x:v>7일 누적 출석 5일차</x:v>
      </x:c>
    </x:row>
    <x:row r="164" ht="15" hidden="0" customHeight="1">
      <x:c r="A164" s="7" t="n">
        <x:v>217</x:v>
      </x:c>
      <x:c r="B164" s="6" t="str">
        <x:v>Attendance</x:v>
      </x:c>
      <x:c r="C164" s="6" t="str">
        <x:v>day_6</x:v>
      </x:c>
      <x:c r="D164" s="7" t="n">
        <x:v>1</x:v>
      </x:c>
      <x:c r="E164" s="6" t="str">
        <x:v>Currency</x:v>
      </x:c>
      <x:c r="F164" s="6" t="str">
        <x:v>Diamond</x:v>
      </x:c>
      <x:c r="G164" s="7" t="n">
        <x:v>10</x:v>
      </x:c>
      <x:c r="H164" s="6" t="str">
        <x:v>7일 누적 출석 6일차</x:v>
      </x:c>
    </x:row>
    <x:row r="165" ht="15" hidden="0" customHeight="1">
      <x:c r="A165" s="7" t="n">
        <x:v>218</x:v>
      </x:c>
      <x:c r="B165" s="6" t="str">
        <x:v>Attendance</x:v>
      </x:c>
      <x:c r="C165" s="6" t="str">
        <x:v>day_7</x:v>
      </x:c>
      <x:c r="D165" s="7" t="n">
        <x:v>1</x:v>
      </x:c>
      <x:c r="E165" s="6" t="str">
        <x:v>Pack</x:v>
      </x:c>
      <x:c r="F165" s="6" t="str">
        <x:v>NormalPack_TEST</x:v>
      </x:c>
      <x:c r="G165" s="7" t="n">
        <x:v>1</x:v>
      </x:c>
      <x:c r="H165" s="6" t="str">
        <x:v>7일 누적 출석 7일차 일반 팩</x:v>
      </x:c>
    </x:row>
    <x:row r="166" ht="15" hidden="0" customHeight="1">
      <x:c r="A166" s="7" t="n">
        <x:v>219</x:v>
      </x:c>
      <x:c r="B166" s="6" t="str">
        <x:v>AccountLevel</x:v>
      </x:c>
      <x:c r="C166" s="6" t="str">
        <x:v>2</x:v>
      </x:c>
      <x:c r="D166" s="7" t="n">
        <x:v>1</x:v>
      </x:c>
      <x:c r="E166" s="6" t="str">
        <x:v>Currency</x:v>
      </x:c>
      <x:c r="F166" s="6" t="str">
        <x:v>Gold</x:v>
      </x:c>
      <x:c r="G166" s="7" t="n">
        <x:v>30</x:v>
      </x:c>
      <x:c r="H166" s="6" t="str">
        <x:v>계정 레벨 2 달성; 자동 지급; 이전 레벨 소급 없음</x:v>
      </x:c>
    </x:row>
    <x:row r="167" ht="15" hidden="0" customHeight="1">
      <x:c r="A167" s="7" t="n">
        <x:v>220</x:v>
      </x:c>
      <x:c r="B167" s="6" t="str">
        <x:v>AccountLevel</x:v>
      </x:c>
      <x:c r="C167" s="6" t="str">
        <x:v>3</x:v>
      </x:c>
      <x:c r="D167" s="7" t="n">
        <x:v>1</x:v>
      </x:c>
      <x:c r="E167" s="6" t="str">
        <x:v>Currency</x:v>
      </x:c>
      <x:c r="F167" s="6" t="str">
        <x:v>Gold</x:v>
      </x:c>
      <x:c r="G167" s="7" t="n">
        <x:v>30</x:v>
      </x:c>
      <x:c r="H167" s="6" t="str">
        <x:v>계정 레벨 3 달성; 자동 지급; 이전 레벨 소급 없음</x:v>
      </x:c>
    </x:row>
    <x:row r="168" ht="15" hidden="0" customHeight="1">
      <x:c r="A168" s="7" t="n">
        <x:v>221</x:v>
      </x:c>
      <x:c r="B168" s="6" t="str">
        <x:v>AccountLevel</x:v>
      </x:c>
      <x:c r="C168" s="6" t="str">
        <x:v>4</x:v>
      </x:c>
      <x:c r="D168" s="7" t="n">
        <x:v>1</x:v>
      </x:c>
      <x:c r="E168" s="6" t="str">
        <x:v>Currency</x:v>
      </x:c>
      <x:c r="F168" s="6" t="str">
        <x:v>Gold</x:v>
      </x:c>
      <x:c r="G168" s="7" t="n">
        <x:v>30</x:v>
      </x:c>
      <x:c r="H168" s="6" t="str">
        <x:v>계정 레벨 4 달성; 자동 지급; 이전 레벨 소급 없음</x:v>
      </x:c>
    </x:row>
    <x:row r="169" ht="15" hidden="0" customHeight="1">
      <x:c r="A169" s="7" t="n">
        <x:v>222</x:v>
      </x:c>
      <x:c r="B169" s="6" t="str">
        <x:v>AccountLevel</x:v>
      </x:c>
      <x:c r="C169" s="6" t="str">
        <x:v>5</x:v>
      </x:c>
      <x:c r="D169" s="7" t="n">
        <x:v>1</x:v>
      </x:c>
      <x:c r="E169" s="6" t="str">
        <x:v>Currency</x:v>
      </x:c>
      <x:c r="F169" s="6" t="str">
        <x:v>Gold</x:v>
      </x:c>
      <x:c r="G169" s="7" t="n">
        <x:v>30</x:v>
      </x:c>
      <x:c r="H169" s="6" t="str">
        <x:v>계정 레벨 5 달성; 자동 지급; 이전 레벨 소급 없음</x:v>
      </x:c>
    </x:row>
    <x:row r="170" ht="15" hidden="0" customHeight="1">
      <x:c r="A170" s="7" t="n">
        <x:v>223</x:v>
      </x:c>
      <x:c r="B170" s="6" t="str">
        <x:v>AccountLevel</x:v>
      </x:c>
      <x:c r="C170" s="6" t="str">
        <x:v>6</x:v>
      </x:c>
      <x:c r="D170" s="7" t="n">
        <x:v>1</x:v>
      </x:c>
      <x:c r="E170" s="6" t="str">
        <x:v>Currency</x:v>
      </x:c>
      <x:c r="F170" s="6" t="str">
        <x:v>Gold</x:v>
      </x:c>
      <x:c r="G170" s="7" t="n">
        <x:v>30</x:v>
      </x:c>
      <x:c r="H170" s="6" t="str">
        <x:v>계정 레벨 6 달성; 자동 지급; 이전 레벨 소급 없음</x:v>
      </x:c>
    </x:row>
    <x:row r="171" ht="15" hidden="0" customHeight="1">
      <x:c r="A171" s="7" t="n">
        <x:v>224</x:v>
      </x:c>
      <x:c r="B171" s="6" t="str">
        <x:v>AccountLevel</x:v>
      </x:c>
      <x:c r="C171" s="6" t="str">
        <x:v>7</x:v>
      </x:c>
      <x:c r="D171" s="7" t="n">
        <x:v>1</x:v>
      </x:c>
      <x:c r="E171" s="6" t="str">
        <x:v>Currency</x:v>
      </x:c>
      <x:c r="F171" s="6" t="str">
        <x:v>Gold</x:v>
      </x:c>
      <x:c r="G171" s="7" t="n">
        <x:v>30</x:v>
      </x:c>
      <x:c r="H171" s="6" t="str">
        <x:v>계정 레벨 7 달성; 자동 지급; 이전 레벨 소급 없음</x:v>
      </x:c>
    </x:row>
    <x:row r="172" ht="15" hidden="0" customHeight="1">
      <x:c r="A172" s="7" t="n">
        <x:v>225</x:v>
      </x:c>
      <x:c r="B172" s="6" t="str">
        <x:v>AccountLevel</x:v>
      </x:c>
      <x:c r="C172" s="6" t="str">
        <x:v>8</x:v>
      </x:c>
      <x:c r="D172" s="7" t="n">
        <x:v>1</x:v>
      </x:c>
      <x:c r="E172" s="6" t="str">
        <x:v>Currency</x:v>
      </x:c>
      <x:c r="F172" s="6" t="str">
        <x:v>Gold</x:v>
      </x:c>
      <x:c r="G172" s="7" t="n">
        <x:v>30</x:v>
      </x:c>
      <x:c r="H172" s="6" t="str">
        <x:v>계정 레벨 8 달성; 자동 지급; 이전 레벨 소급 없음</x:v>
      </x:c>
    </x:row>
    <x:row r="173" ht="15" hidden="0" customHeight="1">
      <x:c r="A173" s="7" t="n">
        <x:v>226</x:v>
      </x:c>
      <x:c r="B173" s="6" t="str">
        <x:v>AccountLevel</x:v>
      </x:c>
      <x:c r="C173" s="6" t="str">
        <x:v>9</x:v>
      </x:c>
      <x:c r="D173" s="7" t="n">
        <x:v>1</x:v>
      </x:c>
      <x:c r="E173" s="6" t="str">
        <x:v>Currency</x:v>
      </x:c>
      <x:c r="F173" s="6" t="str">
        <x:v>Gold</x:v>
      </x:c>
      <x:c r="G173" s="7" t="n">
        <x:v>30</x:v>
      </x:c>
      <x:c r="H173" s="6" t="str">
        <x:v>계정 레벨 9 달성; 자동 지급; 이전 레벨 소급 없음</x:v>
      </x:c>
    </x:row>
    <x:row r="174" ht="15" hidden="0" customHeight="1">
      <x:c r="A174" s="7" t="n">
        <x:v>227</x:v>
      </x:c>
      <x:c r="B174" s="6" t="str">
        <x:v>AccountLevel</x:v>
      </x:c>
      <x:c r="C174" s="6" t="str">
        <x:v>10</x:v>
      </x:c>
      <x:c r="D174" s="7" t="n">
        <x:v>1</x:v>
      </x:c>
      <x:c r="E174" s="6" t="str">
        <x:v>Currency</x:v>
      </x:c>
      <x:c r="F174" s="6" t="str">
        <x:v>Gold</x:v>
      </x:c>
      <x:c r="G174" s="7" t="n">
        <x:v>30</x:v>
      </x:c>
      <x:c r="H174" s="6" t="str">
        <x:v>계정 레벨 10 달성; 자동 지급; 이전 레벨 소급 없음</x:v>
      </x:c>
    </x:row>
    <x:row r="175" ht="15" hidden="0" customHeight="1">
      <x:c r="A175" s="7" t="n">
        <x:v>228</x:v>
      </x:c>
      <x:c r="B175" s="6" t="str">
        <x:v>AccountLevel</x:v>
      </x:c>
      <x:c r="C175" s="6" t="str">
        <x:v>11</x:v>
      </x:c>
      <x:c r="D175" s="7" t="n">
        <x:v>1</x:v>
      </x:c>
      <x:c r="E175" s="6" t="str">
        <x:v>Currency</x:v>
      </x:c>
      <x:c r="F175" s="6" t="str">
        <x:v>Gold</x:v>
      </x:c>
      <x:c r="G175" s="7" t="n">
        <x:v>30</x:v>
      </x:c>
      <x:c r="H175" s="6" t="str">
        <x:v>계정 레벨 11 달성; 자동 지급; 이전 레벨 소급 없음</x:v>
      </x:c>
    </x:row>
    <x:row r="176" ht="15" hidden="0" customHeight="1">
      <x:c r="A176" s="7" t="n">
        <x:v>229</x:v>
      </x:c>
      <x:c r="B176" s="6" t="str">
        <x:v>AccountLevel</x:v>
      </x:c>
      <x:c r="C176" s="6" t="str">
        <x:v>12</x:v>
      </x:c>
      <x:c r="D176" s="7" t="n">
        <x:v>1</x:v>
      </x:c>
      <x:c r="E176" s="6" t="str">
        <x:v>Currency</x:v>
      </x:c>
      <x:c r="F176" s="6" t="str">
        <x:v>Gold</x:v>
      </x:c>
      <x:c r="G176" s="7" t="n">
        <x:v>30</x:v>
      </x:c>
      <x:c r="H176" s="6" t="str">
        <x:v>계정 레벨 12 달성; 자동 지급; 이전 레벨 소급 없음</x:v>
      </x:c>
    </x:row>
    <x:row r="177" ht="15" hidden="0" customHeight="1">
      <x:c r="A177" s="7" t="n">
        <x:v>230</x:v>
      </x:c>
      <x:c r="B177" s="6" t="str">
        <x:v>AccountLevel</x:v>
      </x:c>
      <x:c r="C177" s="6" t="str">
        <x:v>13</x:v>
      </x:c>
      <x:c r="D177" s="7" t="n">
        <x:v>1</x:v>
      </x:c>
      <x:c r="E177" s="6" t="str">
        <x:v>Currency</x:v>
      </x:c>
      <x:c r="F177" s="6" t="str">
        <x:v>Gold</x:v>
      </x:c>
      <x:c r="G177" s="7" t="n">
        <x:v>30</x:v>
      </x:c>
      <x:c r="H177" s="6" t="str">
        <x:v>계정 레벨 13 달성; 자동 지급; 이전 레벨 소급 없음</x:v>
      </x:c>
    </x:row>
    <x:row r="178" ht="15" hidden="0" customHeight="1">
      <x:c r="A178" s="7" t="n">
        <x:v>231</x:v>
      </x:c>
      <x:c r="B178" s="6" t="str">
        <x:v>AccountLevel</x:v>
      </x:c>
      <x:c r="C178" s="6" t="str">
        <x:v>14</x:v>
      </x:c>
      <x:c r="D178" s="7" t="n">
        <x:v>1</x:v>
      </x:c>
      <x:c r="E178" s="6" t="str">
        <x:v>Currency</x:v>
      </x:c>
      <x:c r="F178" s="6" t="str">
        <x:v>Gold</x:v>
      </x:c>
      <x:c r="G178" s="7" t="n">
        <x:v>30</x:v>
      </x:c>
      <x:c r="H178" s="6" t="str">
        <x:v>계정 레벨 14 달성; 자동 지급; 이전 레벨 소급 없음</x:v>
      </x:c>
    </x:row>
    <x:row r="179" ht="15" hidden="0" customHeight="1">
      <x:c r="A179" s="7" t="n">
        <x:v>232</x:v>
      </x:c>
      <x:c r="B179" s="6" t="str">
        <x:v>AccountLevel</x:v>
      </x:c>
      <x:c r="C179" s="6" t="str">
        <x:v>15</x:v>
      </x:c>
      <x:c r="D179" s="7" t="n">
        <x:v>1</x:v>
      </x:c>
      <x:c r="E179" s="6" t="str">
        <x:v>Currency</x:v>
      </x:c>
      <x:c r="F179" s="6" t="str">
        <x:v>Gold</x:v>
      </x:c>
      <x:c r="G179" s="7" t="n">
        <x:v>30</x:v>
      </x:c>
      <x:c r="H179" s="6" t="str">
        <x:v>계정 레벨 15 달성; 자동 지급; 이전 레벨 소급 없음</x:v>
      </x:c>
    </x:row>
    <x:row r="180" ht="15" hidden="0" customHeight="1">
      <x:c r="A180" s="7" t="n">
        <x:v>233</x:v>
      </x:c>
      <x:c r="B180" s="6" t="str">
        <x:v>AccountLevel</x:v>
      </x:c>
      <x:c r="C180" s="6" t="str">
        <x:v>16</x:v>
      </x:c>
      <x:c r="D180" s="7" t="n">
        <x:v>1</x:v>
      </x:c>
      <x:c r="E180" s="6" t="str">
        <x:v>Currency</x:v>
      </x:c>
      <x:c r="F180" s="6" t="str">
        <x:v>Gold</x:v>
      </x:c>
      <x:c r="G180" s="7" t="n">
        <x:v>30</x:v>
      </x:c>
      <x:c r="H180" s="6" t="str">
        <x:v>계정 레벨 16 달성; 자동 지급; 이전 레벨 소급 없음</x:v>
      </x:c>
    </x:row>
    <x:row r="181" ht="15" hidden="0" customHeight="1">
      <x:c r="A181" s="7" t="n">
        <x:v>234</x:v>
      </x:c>
      <x:c r="B181" s="6" t="str">
        <x:v>AccountLevel</x:v>
      </x:c>
      <x:c r="C181" s="6" t="str">
        <x:v>17</x:v>
      </x:c>
      <x:c r="D181" s="7" t="n">
        <x:v>1</x:v>
      </x:c>
      <x:c r="E181" s="6" t="str">
        <x:v>Currency</x:v>
      </x:c>
      <x:c r="F181" s="6" t="str">
        <x:v>Gold</x:v>
      </x:c>
      <x:c r="G181" s="7" t="n">
        <x:v>30</x:v>
      </x:c>
      <x:c r="H181" s="6" t="str">
        <x:v>계정 레벨 17 달성; 자동 지급; 이전 레벨 소급 없음</x:v>
      </x:c>
    </x:row>
    <x:row r="182" ht="15" hidden="0" customHeight="1">
      <x:c r="A182" s="7" t="n">
        <x:v>235</x:v>
      </x:c>
      <x:c r="B182" s="6" t="str">
        <x:v>AccountLevel</x:v>
      </x:c>
      <x:c r="C182" s="6" t="str">
        <x:v>18</x:v>
      </x:c>
      <x:c r="D182" s="7" t="n">
        <x:v>1</x:v>
      </x:c>
      <x:c r="E182" s="6" t="str">
        <x:v>Currency</x:v>
      </x:c>
      <x:c r="F182" s="6" t="str">
        <x:v>Gold</x:v>
      </x:c>
      <x:c r="G182" s="7" t="n">
        <x:v>30</x:v>
      </x:c>
      <x:c r="H182" s="6" t="str">
        <x:v>계정 레벨 18 달성; 자동 지급; 이전 레벨 소급 없음</x:v>
      </x:c>
    </x:row>
    <x:row r="183" ht="15" hidden="0" customHeight="1">
      <x:c r="A183" s="7" t="n">
        <x:v>236</x:v>
      </x:c>
      <x:c r="B183" s="6" t="str">
        <x:v>AccountLevel</x:v>
      </x:c>
      <x:c r="C183" s="6" t="str">
        <x:v>19</x:v>
      </x:c>
      <x:c r="D183" s="7" t="n">
        <x:v>1</x:v>
      </x:c>
      <x:c r="E183" s="6" t="str">
        <x:v>Currency</x:v>
      </x:c>
      <x:c r="F183" s="6" t="str">
        <x:v>Gold</x:v>
      </x:c>
      <x:c r="G183" s="7" t="n">
        <x:v>30</x:v>
      </x:c>
      <x:c r="H183" s="6" t="str">
        <x:v>계정 레벨 19 달성; 자동 지급; 이전 레벨 소급 없음</x:v>
      </x:c>
    </x:row>
    <x:row r="184" ht="15" hidden="0" customHeight="1">
      <x:c r="A184" s="7" t="n">
        <x:v>237</x:v>
      </x:c>
      <x:c r="B184" s="6" t="str">
        <x:v>AccountLevel</x:v>
      </x:c>
      <x:c r="C184" s="6" t="str">
        <x:v>20</x:v>
      </x:c>
      <x:c r="D184" s="7" t="n">
        <x:v>1</x:v>
      </x:c>
      <x:c r="E184" s="6" t="str">
        <x:v>Currency</x:v>
      </x:c>
      <x:c r="F184" s="6" t="str">
        <x:v>Gold</x:v>
      </x:c>
      <x:c r="G184" s="7" t="n">
        <x:v>30</x:v>
      </x:c>
      <x:c r="H184" s="6" t="str">
        <x:v>계정 레벨 20 달성; 자동 지급; 이전 레벨 소급 없음</x:v>
      </x:c>
    </x:row>
    <x:row r="185" ht="15" hidden="0" customHeight="1">
      <x:c r="A185" s="7" t="n">
        <x:v>238</x:v>
      </x:c>
      <x:c r="B185" s="6" t="str">
        <x:v>AccountLevel</x:v>
      </x:c>
      <x:c r="C185" s="6" t="str">
        <x:v>21</x:v>
      </x:c>
      <x:c r="D185" s="7" t="n">
        <x:v>1</x:v>
      </x:c>
      <x:c r="E185" s="6" t="str">
        <x:v>Currency</x:v>
      </x:c>
      <x:c r="F185" s="6" t="str">
        <x:v>Gold</x:v>
      </x:c>
      <x:c r="G185" s="7" t="n">
        <x:v>30</x:v>
      </x:c>
      <x:c r="H185" s="6" t="str">
        <x:v>계정 레벨 21 달성; 자동 지급; 이전 레벨 소급 없음</x:v>
      </x:c>
    </x:row>
    <x:row r="186" ht="15" hidden="0" customHeight="1">
      <x:c r="A186" s="7" t="n">
        <x:v>239</x:v>
      </x:c>
      <x:c r="B186" s="6" t="str">
        <x:v>AccountLevel</x:v>
      </x:c>
      <x:c r="C186" s="6" t="str">
        <x:v>22</x:v>
      </x:c>
      <x:c r="D186" s="7" t="n">
        <x:v>1</x:v>
      </x:c>
      <x:c r="E186" s="6" t="str">
        <x:v>Currency</x:v>
      </x:c>
      <x:c r="F186" s="6" t="str">
        <x:v>Gold</x:v>
      </x:c>
      <x:c r="G186" s="7" t="n">
        <x:v>30</x:v>
      </x:c>
      <x:c r="H186" s="6" t="str">
        <x:v>계정 레벨 22 달성; 자동 지급; 이전 레벨 소급 없음</x:v>
      </x:c>
    </x:row>
    <x:row r="187" ht="15" hidden="0" customHeight="1">
      <x:c r="A187" s="7" t="n">
        <x:v>240</x:v>
      </x:c>
      <x:c r="B187" s="6" t="str">
        <x:v>AccountLevel</x:v>
      </x:c>
      <x:c r="C187" s="6" t="str">
        <x:v>23</x:v>
      </x:c>
      <x:c r="D187" s="7" t="n">
        <x:v>1</x:v>
      </x:c>
      <x:c r="E187" s="6" t="str">
        <x:v>Currency</x:v>
      </x:c>
      <x:c r="F187" s="6" t="str">
        <x:v>Gold</x:v>
      </x:c>
      <x:c r="G187" s="7" t="n">
        <x:v>30</x:v>
      </x:c>
      <x:c r="H187" s="6" t="str">
        <x:v>계정 레벨 23 달성; 자동 지급; 이전 레벨 소급 없음</x:v>
      </x:c>
    </x:row>
    <x:row r="188" ht="15" hidden="0" customHeight="1">
      <x:c r="A188" s="7" t="n">
        <x:v>241</x:v>
      </x:c>
      <x:c r="B188" s="6" t="str">
        <x:v>AccountLevel</x:v>
      </x:c>
      <x:c r="C188" s="6" t="str">
        <x:v>24</x:v>
      </x:c>
      <x:c r="D188" s="7" t="n">
        <x:v>1</x:v>
      </x:c>
      <x:c r="E188" s="6" t="str">
        <x:v>Currency</x:v>
      </x:c>
      <x:c r="F188" s="6" t="str">
        <x:v>Gold</x:v>
      </x:c>
      <x:c r="G188" s="7" t="n">
        <x:v>30</x:v>
      </x:c>
      <x:c r="H188" s="6" t="str">
        <x:v>계정 레벨 24 달성; 자동 지급; 이전 레벨 소급 없음</x:v>
      </x:c>
    </x:row>
    <x:row r="189" ht="15" hidden="0" customHeight="1">
      <x:c r="A189" s="7" t="n">
        <x:v>242</x:v>
      </x:c>
      <x:c r="B189" s="6" t="str">
        <x:v>AccountLevel</x:v>
      </x:c>
      <x:c r="C189" s="6" t="str">
        <x:v>25</x:v>
      </x:c>
      <x:c r="D189" s="7" t="n">
        <x:v>1</x:v>
      </x:c>
      <x:c r="E189" s="6" t="str">
        <x:v>Currency</x:v>
      </x:c>
      <x:c r="F189" s="6" t="str">
        <x:v>Gold</x:v>
      </x:c>
      <x:c r="G189" s="7" t="n">
        <x:v>30</x:v>
      </x:c>
      <x:c r="H189" s="6" t="str">
        <x:v>계정 레벨 25 달성; 자동 지급; 이전 레벨 소급 없음</x:v>
      </x:c>
    </x:row>
    <x:row r="190" ht="15" hidden="0" customHeight="1">
      <x:c r="A190" s="7" t="n">
        <x:v>243</x:v>
      </x:c>
      <x:c r="B190" s="6" t="str">
        <x:v>AccountLevel</x:v>
      </x:c>
      <x:c r="C190" s="6" t="str">
        <x:v>26</x:v>
      </x:c>
      <x:c r="D190" s="7" t="n">
        <x:v>1</x:v>
      </x:c>
      <x:c r="E190" s="6" t="str">
        <x:v>Currency</x:v>
      </x:c>
      <x:c r="F190" s="6" t="str">
        <x:v>Gold</x:v>
      </x:c>
      <x:c r="G190" s="7" t="n">
        <x:v>30</x:v>
      </x:c>
      <x:c r="H190" s="6" t="str">
        <x:v>계정 레벨 26 달성; 자동 지급; 이전 레벨 소급 없음</x:v>
      </x:c>
    </x:row>
    <x:row r="191" ht="15" hidden="0" customHeight="1">
      <x:c r="A191" s="7" t="n">
        <x:v>244</x:v>
      </x:c>
      <x:c r="B191" s="6" t="str">
        <x:v>AccountLevel</x:v>
      </x:c>
      <x:c r="C191" s="6" t="str">
        <x:v>27</x:v>
      </x:c>
      <x:c r="D191" s="7" t="n">
        <x:v>1</x:v>
      </x:c>
      <x:c r="E191" s="6" t="str">
        <x:v>Currency</x:v>
      </x:c>
      <x:c r="F191" s="6" t="str">
        <x:v>Gold</x:v>
      </x:c>
      <x:c r="G191" s="7" t="n">
        <x:v>30</x:v>
      </x:c>
      <x:c r="H191" s="6" t="str">
        <x:v>계정 레벨 27 달성; 자동 지급; 이전 레벨 소급 없음</x:v>
      </x:c>
    </x:row>
    <x:row r="192" ht="15" hidden="0" customHeight="1">
      <x:c r="A192" s="7" t="n">
        <x:v>245</x:v>
      </x:c>
      <x:c r="B192" s="6" t="str">
        <x:v>AccountLevel</x:v>
      </x:c>
      <x:c r="C192" s="6" t="str">
        <x:v>28</x:v>
      </x:c>
      <x:c r="D192" s="7" t="n">
        <x:v>1</x:v>
      </x:c>
      <x:c r="E192" s="6" t="str">
        <x:v>Currency</x:v>
      </x:c>
      <x:c r="F192" s="6" t="str">
        <x:v>Gold</x:v>
      </x:c>
      <x:c r="G192" s="7" t="n">
        <x:v>30</x:v>
      </x:c>
      <x:c r="H192" s="6" t="str">
        <x:v>계정 레벨 28 달성; 자동 지급; 이전 레벨 소급 없음</x:v>
      </x:c>
    </x:row>
    <x:row r="193" ht="15" hidden="0" customHeight="1">
      <x:c r="A193" s="7" t="n">
        <x:v>246</x:v>
      </x:c>
      <x:c r="B193" s="6" t="str">
        <x:v>AccountLevel</x:v>
      </x:c>
      <x:c r="C193" s="6" t="str">
        <x:v>29</x:v>
      </x:c>
      <x:c r="D193" s="7" t="n">
        <x:v>1</x:v>
      </x:c>
      <x:c r="E193" s="6" t="str">
        <x:v>Currency</x:v>
      </x:c>
      <x:c r="F193" s="6" t="str">
        <x:v>Gold</x:v>
      </x:c>
      <x:c r="G193" s="7" t="n">
        <x:v>30</x:v>
      </x:c>
      <x:c r="H193" s="6" t="str">
        <x:v>계정 레벨 29 달성; 자동 지급; 이전 레벨 소급 없음</x:v>
      </x:c>
    </x:row>
    <x:row r="194" ht="15" hidden="0" customHeight="1">
      <x:c r="A194" s="7" t="n">
        <x:v>247</x:v>
      </x:c>
      <x:c r="B194" s="6" t="str">
        <x:v>AccountLevel</x:v>
      </x:c>
      <x:c r="C194" s="6" t="str">
        <x:v>30</x:v>
      </x:c>
      <x:c r="D194" s="7" t="n">
        <x:v>1</x:v>
      </x:c>
      <x:c r="E194" s="6" t="str">
        <x:v>Currency</x:v>
      </x:c>
      <x:c r="F194" s="6" t="str">
        <x:v>Gold</x:v>
      </x:c>
      <x:c r="G194" s="7" t="n">
        <x:v>30</x:v>
      </x:c>
      <x:c r="H194" s="6" t="str">
        <x:v>계정 레벨 30 달성; 자동 지급; 이전 레벨 소급 없음</x:v>
      </x:c>
    </x:row>
    <x:row r="195" ht="15" hidden="0" customHeight="1">
      <x:c r="A195" s="7" t="n">
        <x:v>248</x:v>
      </x:c>
      <x:c r="B195" s="6" t="str">
        <x:v>AccountLevel</x:v>
      </x:c>
      <x:c r="C195" s="6" t="str">
        <x:v>31</x:v>
      </x:c>
      <x:c r="D195" s="7" t="n">
        <x:v>1</x:v>
      </x:c>
      <x:c r="E195" s="6" t="str">
        <x:v>Currency</x:v>
      </x:c>
      <x:c r="F195" s="6" t="str">
        <x:v>Gold</x:v>
      </x:c>
      <x:c r="G195" s="7" t="n">
        <x:v>30</x:v>
      </x:c>
      <x:c r="H195" s="6" t="str">
        <x:v>계정 레벨 31 달성; 자동 지급; 이전 레벨 소급 없음</x:v>
      </x:c>
    </x:row>
    <x:row r="196" ht="15" hidden="0" customHeight="1">
      <x:c r="A196" s="7" t="n">
        <x:v>249</x:v>
      </x:c>
      <x:c r="B196" s="6" t="str">
        <x:v>AccountLevel</x:v>
      </x:c>
      <x:c r="C196" s="6" t="str">
        <x:v>32</x:v>
      </x:c>
      <x:c r="D196" s="7" t="n">
        <x:v>1</x:v>
      </x:c>
      <x:c r="E196" s="6" t="str">
        <x:v>Currency</x:v>
      </x:c>
      <x:c r="F196" s="6" t="str">
        <x:v>Gold</x:v>
      </x:c>
      <x:c r="G196" s="7" t="n">
        <x:v>30</x:v>
      </x:c>
      <x:c r="H196" s="6" t="str">
        <x:v>계정 레벨 32 달성; 자동 지급; 이전 레벨 소급 없음</x:v>
      </x:c>
    </x:row>
    <x:row r="197" ht="15" hidden="0" customHeight="1">
      <x:c r="A197" s="7" t="n">
        <x:v>250</x:v>
      </x:c>
      <x:c r="B197" s="6" t="str">
        <x:v>AccountLevel</x:v>
      </x:c>
      <x:c r="C197" s="6" t="str">
        <x:v>33</x:v>
      </x:c>
      <x:c r="D197" s="7" t="n">
        <x:v>1</x:v>
      </x:c>
      <x:c r="E197" s="6" t="str">
        <x:v>Currency</x:v>
      </x:c>
      <x:c r="F197" s="6" t="str">
        <x:v>Gold</x:v>
      </x:c>
      <x:c r="G197" s="7" t="n">
        <x:v>30</x:v>
      </x:c>
      <x:c r="H197" s="6" t="str">
        <x:v>계정 레벨 33 달성; 자동 지급; 이전 레벨 소급 없음</x:v>
      </x:c>
    </x:row>
    <x:row r="198" ht="15" hidden="0" customHeight="1">
      <x:c r="A198" s="7" t="n">
        <x:v>251</x:v>
      </x:c>
      <x:c r="B198" s="6" t="str">
        <x:v>AccountLevel</x:v>
      </x:c>
      <x:c r="C198" s="6" t="str">
        <x:v>34</x:v>
      </x:c>
      <x:c r="D198" s="7" t="n">
        <x:v>1</x:v>
      </x:c>
      <x:c r="E198" s="6" t="str">
        <x:v>Currency</x:v>
      </x:c>
      <x:c r="F198" s="6" t="str">
        <x:v>Gold</x:v>
      </x:c>
      <x:c r="G198" s="7" t="n">
        <x:v>30</x:v>
      </x:c>
      <x:c r="H198" s="6" t="str">
        <x:v>계정 레벨 34 달성; 자동 지급; 이전 레벨 소급 없음</x:v>
      </x:c>
    </x:row>
    <x:row r="199" ht="15" hidden="0" customHeight="1">
      <x:c r="A199" s="7" t="n">
        <x:v>252</x:v>
      </x:c>
      <x:c r="B199" s="6" t="str">
        <x:v>AccountLevel</x:v>
      </x:c>
      <x:c r="C199" s="6" t="str">
        <x:v>35</x:v>
      </x:c>
      <x:c r="D199" s="7" t="n">
        <x:v>1</x:v>
      </x:c>
      <x:c r="E199" s="6" t="str">
        <x:v>Currency</x:v>
      </x:c>
      <x:c r="F199" s="6" t="str">
        <x:v>Gold</x:v>
      </x:c>
      <x:c r="G199" s="7" t="n">
        <x:v>30</x:v>
      </x:c>
      <x:c r="H199" s="6" t="str">
        <x:v>계정 레벨 35 달성; 자동 지급; 이전 레벨 소급 없음</x:v>
      </x:c>
    </x:row>
    <x:row r="200" ht="15" hidden="0" customHeight="1">
      <x:c r="A200" s="7" t="n">
        <x:v>253</x:v>
      </x:c>
      <x:c r="B200" s="6" t="str">
        <x:v>AccountLevel</x:v>
      </x:c>
      <x:c r="C200" s="6" t="str">
        <x:v>36</x:v>
      </x:c>
      <x:c r="D200" s="7" t="n">
        <x:v>1</x:v>
      </x:c>
      <x:c r="E200" s="6" t="str">
        <x:v>Currency</x:v>
      </x:c>
      <x:c r="F200" s="6" t="str">
        <x:v>Gold</x:v>
      </x:c>
      <x:c r="G200" s="7" t="n">
        <x:v>30</x:v>
      </x:c>
      <x:c r="H200" s="6" t="str">
        <x:v>계정 레벨 36 달성; 자동 지급; 이전 레벨 소급 없음</x:v>
      </x:c>
    </x:row>
    <x:row r="201" ht="15" hidden="0" customHeight="1">
      <x:c r="A201" s="7" t="n">
        <x:v>254</x:v>
      </x:c>
      <x:c r="B201" s="6" t="str">
        <x:v>AccountLevel</x:v>
      </x:c>
      <x:c r="C201" s="6" t="str">
        <x:v>37</x:v>
      </x:c>
      <x:c r="D201" s="7" t="n">
        <x:v>1</x:v>
      </x:c>
      <x:c r="E201" s="6" t="str">
        <x:v>Currency</x:v>
      </x:c>
      <x:c r="F201" s="6" t="str">
        <x:v>Gold</x:v>
      </x:c>
      <x:c r="G201" s="7" t="n">
        <x:v>30</x:v>
      </x:c>
      <x:c r="H201" s="6" t="str">
        <x:v>계정 레벨 37 달성; 자동 지급; 이전 레벨 소급 없음</x:v>
      </x:c>
    </x:row>
    <x:row r="202" ht="15" hidden="0" customHeight="1">
      <x:c r="A202" s="7" t="n">
        <x:v>255</x:v>
      </x:c>
      <x:c r="B202" s="6" t="str">
        <x:v>AccountLevel</x:v>
      </x:c>
      <x:c r="C202" s="6" t="str">
        <x:v>38</x:v>
      </x:c>
      <x:c r="D202" s="7" t="n">
        <x:v>1</x:v>
      </x:c>
      <x:c r="E202" s="6" t="str">
        <x:v>Currency</x:v>
      </x:c>
      <x:c r="F202" s="6" t="str">
        <x:v>Gold</x:v>
      </x:c>
      <x:c r="G202" s="7" t="n">
        <x:v>30</x:v>
      </x:c>
      <x:c r="H202" s="6" t="str">
        <x:v>계정 레벨 38 달성; 자동 지급; 이전 레벨 소급 없음</x:v>
      </x:c>
    </x:row>
    <x:row r="203" ht="15" hidden="0" customHeight="1">
      <x:c r="A203" s="7" t="n">
        <x:v>256</x:v>
      </x:c>
      <x:c r="B203" s="6" t="str">
        <x:v>AccountLevel</x:v>
      </x:c>
      <x:c r="C203" s="6" t="str">
        <x:v>39</x:v>
      </x:c>
      <x:c r="D203" s="7" t="n">
        <x:v>1</x:v>
      </x:c>
      <x:c r="E203" s="6" t="str">
        <x:v>Currency</x:v>
      </x:c>
      <x:c r="F203" s="6" t="str">
        <x:v>Gold</x:v>
      </x:c>
      <x:c r="G203" s="7" t="n">
        <x:v>30</x:v>
      </x:c>
      <x:c r="H203" s="6" t="str">
        <x:v>계정 레벨 39 달성; 자동 지급; 이전 레벨 소급 없음</x:v>
      </x:c>
    </x:row>
    <x:row r="204" ht="15" hidden="0" customHeight="1">
      <x:c r="A204" s="7" t="n">
        <x:v>257</x:v>
      </x:c>
      <x:c r="B204" s="6" t="str">
        <x:v>AccountLevel</x:v>
      </x:c>
      <x:c r="C204" s="6" t="str">
        <x:v>40</x:v>
      </x:c>
      <x:c r="D204" s="7" t="n">
        <x:v>1</x:v>
      </x:c>
      <x:c r="E204" s="6" t="str">
        <x:v>Currency</x:v>
      </x:c>
      <x:c r="F204" s="6" t="str">
        <x:v>Gold</x:v>
      </x:c>
      <x:c r="G204" s="7" t="n">
        <x:v>30</x:v>
      </x:c>
      <x:c r="H204" s="6" t="str">
        <x:v>계정 레벨 40 달성; 자동 지급; 이전 레벨 소급 없음</x:v>
      </x:c>
    </x:row>
    <x:row r="205" ht="15" hidden="0" customHeight="1">
      <x:c r="A205" s="7" t="n">
        <x:v>258</x:v>
      </x:c>
      <x:c r="B205" s="6" t="str">
        <x:v>AccountLevel</x:v>
      </x:c>
      <x:c r="C205" s="6" t="str">
        <x:v>41</x:v>
      </x:c>
      <x:c r="D205" s="7" t="n">
        <x:v>1</x:v>
      </x:c>
      <x:c r="E205" s="6" t="str">
        <x:v>Currency</x:v>
      </x:c>
      <x:c r="F205" s="6" t="str">
        <x:v>Gold</x:v>
      </x:c>
      <x:c r="G205" s="7" t="n">
        <x:v>30</x:v>
      </x:c>
      <x:c r="H205" s="6" t="str">
        <x:v>계정 레벨 41 달성; 자동 지급; 이전 레벨 소급 없음</x:v>
      </x:c>
    </x:row>
    <x:row r="206" ht="15" hidden="0" customHeight="1">
      <x:c r="A206" s="7" t="n">
        <x:v>259</x:v>
      </x:c>
      <x:c r="B206" s="6" t="str">
        <x:v>AccountLevel</x:v>
      </x:c>
      <x:c r="C206" s="6" t="str">
        <x:v>42</x:v>
      </x:c>
      <x:c r="D206" s="7" t="n">
        <x:v>1</x:v>
      </x:c>
      <x:c r="E206" s="6" t="str">
        <x:v>Currency</x:v>
      </x:c>
      <x:c r="F206" s="6" t="str">
        <x:v>Gold</x:v>
      </x:c>
      <x:c r="G206" s="7" t="n">
        <x:v>30</x:v>
      </x:c>
      <x:c r="H206" s="6" t="str">
        <x:v>계정 레벨 42 달성; 자동 지급; 이전 레벨 소급 없음</x:v>
      </x:c>
    </x:row>
    <x:row r="207" ht="15" hidden="0" customHeight="1">
      <x:c r="A207" s="7" t="n">
        <x:v>260</x:v>
      </x:c>
      <x:c r="B207" s="6" t="str">
        <x:v>AccountLevel</x:v>
      </x:c>
      <x:c r="C207" s="6" t="str">
        <x:v>43</x:v>
      </x:c>
      <x:c r="D207" s="7" t="n">
        <x:v>1</x:v>
      </x:c>
      <x:c r="E207" s="6" t="str">
        <x:v>Currency</x:v>
      </x:c>
      <x:c r="F207" s="6" t="str">
        <x:v>Gold</x:v>
      </x:c>
      <x:c r="G207" s="7" t="n">
        <x:v>30</x:v>
      </x:c>
      <x:c r="H207" s="6" t="str">
        <x:v>계정 레벨 43 달성; 자동 지급; 이전 레벨 소급 없음</x:v>
      </x:c>
    </x:row>
    <x:row r="208" ht="15" hidden="0" customHeight="1">
      <x:c r="A208" s="7" t="n">
        <x:v>261</x:v>
      </x:c>
      <x:c r="B208" s="6" t="str">
        <x:v>AccountLevel</x:v>
      </x:c>
      <x:c r="C208" s="6" t="str">
        <x:v>44</x:v>
      </x:c>
      <x:c r="D208" s="7" t="n">
        <x:v>1</x:v>
      </x:c>
      <x:c r="E208" s="6" t="str">
        <x:v>Currency</x:v>
      </x:c>
      <x:c r="F208" s="6" t="str">
        <x:v>Gold</x:v>
      </x:c>
      <x:c r="G208" s="7" t="n">
        <x:v>30</x:v>
      </x:c>
      <x:c r="H208" s="6" t="str">
        <x:v>계정 레벨 44 달성; 자동 지급; 이전 레벨 소급 없음</x:v>
      </x:c>
    </x:row>
    <x:row r="209" ht="15" hidden="0" customHeight="1">
      <x:c r="A209" s="7" t="n">
        <x:v>262</x:v>
      </x:c>
      <x:c r="B209" s="6" t="str">
        <x:v>AccountLevel</x:v>
      </x:c>
      <x:c r="C209" s="6" t="str">
        <x:v>45</x:v>
      </x:c>
      <x:c r="D209" s="7" t="n">
        <x:v>1</x:v>
      </x:c>
      <x:c r="E209" s="6" t="str">
        <x:v>Currency</x:v>
      </x:c>
      <x:c r="F209" s="6" t="str">
        <x:v>Gold</x:v>
      </x:c>
      <x:c r="G209" s="7" t="n">
        <x:v>30</x:v>
      </x:c>
      <x:c r="H209" s="6" t="str">
        <x:v>계정 레벨 45 달성; 자동 지급; 이전 레벨 소급 없음</x:v>
      </x:c>
    </x:row>
    <x:row r="210" ht="15" hidden="0" customHeight="1">
      <x:c r="A210" s="7" t="n">
        <x:v>263</x:v>
      </x:c>
      <x:c r="B210" s="6" t="str">
        <x:v>AccountLevel</x:v>
      </x:c>
      <x:c r="C210" s="6" t="str">
        <x:v>46</x:v>
      </x:c>
      <x:c r="D210" s="7" t="n">
        <x:v>1</x:v>
      </x:c>
      <x:c r="E210" s="6" t="str">
        <x:v>Currency</x:v>
      </x:c>
      <x:c r="F210" s="6" t="str">
        <x:v>Gold</x:v>
      </x:c>
      <x:c r="G210" s="7" t="n">
        <x:v>30</x:v>
      </x:c>
      <x:c r="H210" s="6" t="str">
        <x:v>계정 레벨 46 달성; 자동 지급; 이전 레벨 소급 없음</x:v>
      </x:c>
    </x:row>
    <x:row r="211" ht="15" hidden="0" customHeight="1">
      <x:c r="A211" s="7" t="n">
        <x:v>264</x:v>
      </x:c>
      <x:c r="B211" s="6" t="str">
        <x:v>AccountLevel</x:v>
      </x:c>
      <x:c r="C211" s="6" t="str">
        <x:v>47</x:v>
      </x:c>
      <x:c r="D211" s="7" t="n">
        <x:v>1</x:v>
      </x:c>
      <x:c r="E211" s="6" t="str">
        <x:v>Currency</x:v>
      </x:c>
      <x:c r="F211" s="6" t="str">
        <x:v>Gold</x:v>
      </x:c>
      <x:c r="G211" s="7" t="n">
        <x:v>30</x:v>
      </x:c>
      <x:c r="H211" s="6" t="str">
        <x:v>계정 레벨 47 달성; 자동 지급; 이전 레벨 소급 없음</x:v>
      </x:c>
    </x:row>
    <x:row r="212" ht="15" hidden="0" customHeight="1">
      <x:c r="A212" s="7" t="n">
        <x:v>265</x:v>
      </x:c>
      <x:c r="B212" s="6" t="str">
        <x:v>AccountLevel</x:v>
      </x:c>
      <x:c r="C212" s="6" t="str">
        <x:v>48</x:v>
      </x:c>
      <x:c r="D212" s="7" t="n">
        <x:v>1</x:v>
      </x:c>
      <x:c r="E212" s="6" t="str">
        <x:v>Currency</x:v>
      </x:c>
      <x:c r="F212" s="6" t="str">
        <x:v>Gold</x:v>
      </x:c>
      <x:c r="G212" s="7" t="n">
        <x:v>30</x:v>
      </x:c>
      <x:c r="H212" s="6" t="str">
        <x:v>계정 레벨 48 달성; 자동 지급; 이전 레벨 소급 없음</x:v>
      </x:c>
    </x:row>
    <x:row r="213" ht="15" hidden="0" customHeight="1">
      <x:c r="A213" s="7" t="n">
        <x:v>266</x:v>
      </x:c>
      <x:c r="B213" s="6" t="str">
        <x:v>AccountLevel</x:v>
      </x:c>
      <x:c r="C213" s="6" t="str">
        <x:v>49</x:v>
      </x:c>
      <x:c r="D213" s="7" t="n">
        <x:v>1</x:v>
      </x:c>
      <x:c r="E213" s="6" t="str">
        <x:v>Currency</x:v>
      </x:c>
      <x:c r="F213" s="6" t="str">
        <x:v>Gold</x:v>
      </x:c>
      <x:c r="G213" s="7" t="n">
        <x:v>30</x:v>
      </x:c>
      <x:c r="H213" s="6" t="str">
        <x:v>계정 레벨 49 달성; 자동 지급; 이전 레벨 소급 없음</x:v>
      </x:c>
    </x:row>
    <x:row r="214" ht="15" hidden="0" customHeight="1">
      <x:c r="A214" s="7" t="n">
        <x:v>267</x:v>
      </x:c>
      <x:c r="B214" s="6" t="str">
        <x:v>AccountLevel</x:v>
      </x:c>
      <x:c r="C214" s="6" t="str">
        <x:v>50</x:v>
      </x:c>
      <x:c r="D214" s="7" t="n">
        <x:v>1</x:v>
      </x:c>
      <x:c r="E214" s="6" t="str">
        <x:v>Currency</x:v>
      </x:c>
      <x:c r="F214" s="6" t="str">
        <x:v>Gold</x:v>
      </x:c>
      <x:c r="G214" s="7" t="n">
        <x:v>30</x:v>
      </x:c>
      <x:c r="H214" s="6" t="str">
        <x:v>계정 레벨 50 달성; 자동 지급; 이전 레벨 소급 없음</x:v>
      </x:c>
    </x:row>
    <x:row r="217">
      <x:c r="A217" t="str">
        <x:v>출처: docs/SpecData/Reward_sheet.csv / 2026-09-18 로컬 스냅샷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26" hidden="0" customWidth="1"/>
    <x:col min="6" max="6" width="15" hidden="0" customWidth="1"/>
    <x:col min="7" max="7" width="15" hidden="0" customWidth="1"/>
    <x:col min="8" max="8" width="52" hidden="0" customWidth="1"/>
  </x:cols>
  <x:sheetData>
    <x:row r="1" ht="44" customHeight="1">
      <x:c r="A1" s="5" t="str">
        <x:v>id</x:v>
      </x:c>
      <x:c r="B1" s="5" t="str">
        <x:v>rouletteId</x:v>
      </x:c>
      <x:c r="C1" s="5" t="str">
        <x:v>slotIndex</x:v>
      </x:c>
      <x:c r="D1" s="5" t="str">
        <x:v>rewardType</x:v>
      </x:c>
      <x:c r="E1" s="5" t="str">
        <x:v>rewardId</x:v>
      </x:c>
      <x:c r="F1" s="5" t="str">
        <x:v>amount</x:v>
      </x:c>
      <x:c r="G1" s="5" t="str">
        <x:v>weight</x:v>
      </x:c>
      <x:c r="H1" s="5" t="str">
        <x:v>#memo</x:v>
      </x:c>
    </x:row>
    <x:row r="2" ht="15" hidden="0" customHeight="1">
      <x:c r="A2" s="7" t="n">
        <x:v>1</x:v>
      </x:c>
      <x:c r="B2" s="6" t="str">
        <x:v>roulette_default</x:v>
      </x:c>
      <x:c r="C2" s="7" t="n">
        <x:v>0</x:v>
      </x:c>
      <x:c r="D2" s="6" t="str">
        <x:v>Currency</x:v>
      </x:c>
      <x:c r="E2" s="6" t="str">
        <x:v>Gold</x:v>
      </x:c>
      <x:c r="F2" s="7" t="n">
        <x:v>50</x:v>
      </x:c>
      <x:c r="G2" s="7" t="n">
        <x:v>25</x:v>
      </x:c>
      <x:c r="H2" s="6" t="str">
        <x:v>목표 확률 25%; 전체 판은 팩 지급 구현 후 적용</x:v>
      </x:c>
    </x:row>
    <x:row r="3" ht="15" hidden="0" customHeight="1">
      <x:c r="A3" s="7" t="n">
        <x:v>2</x:v>
      </x:c>
      <x:c r="B3" s="6" t="str">
        <x:v>roulette_default</x:v>
      </x:c>
      <x:c r="C3" s="7" t="n">
        <x:v>1</x:v>
      </x:c>
      <x:c r="D3" s="6" t="str">
        <x:v>Currency</x:v>
      </x:c>
      <x:c r="E3" s="6" t="str">
        <x:v>Gold</x:v>
      </x:c>
      <x:c r="F3" s="7" t="n">
        <x:v>150</x:v>
      </x:c>
      <x:c r="G3" s="7" t="n">
        <x:v>20</x:v>
      </x:c>
      <x:c r="H3" s="6" t="str">
        <x:v>목표 확률 20%; 전체 판은 팩 지급 구현 후 적용</x:v>
      </x:c>
    </x:row>
    <x:row r="4" ht="15" hidden="0" customHeight="1">
      <x:c r="A4" s="7" t="n">
        <x:v>3</x:v>
      </x:c>
      <x:c r="B4" s="6" t="str">
        <x:v>roulette_default</x:v>
      </x:c>
      <x:c r="C4" s="7" t="n">
        <x:v>2</x:v>
      </x:c>
      <x:c r="D4" s="6" t="str">
        <x:v>Currency</x:v>
      </x:c>
      <x:c r="E4" s="6" t="str">
        <x:v>Shard</x:v>
      </x:c>
      <x:c r="F4" s="7" t="n">
        <x:v>10</x:v>
      </x:c>
      <x:c r="G4" s="7" t="n">
        <x:v>25</x:v>
      </x:c>
      <x:c r="H4" s="6" t="str">
        <x:v>목표 확률 25%; 전체 판은 팩 지급 구현 후 적용</x:v>
      </x:c>
    </x:row>
    <x:row r="5" ht="15" hidden="0" customHeight="1">
      <x:c r="A5" s="7" t="n">
        <x:v>4</x:v>
      </x:c>
      <x:c r="B5" s="6" t="str">
        <x:v>roulette_default</x:v>
      </x:c>
      <x:c r="C5" s="7" t="n">
        <x:v>3</x:v>
      </x:c>
      <x:c r="D5" s="6" t="str">
        <x:v>Currency</x:v>
      </x:c>
      <x:c r="E5" s="6" t="str">
        <x:v>Shard</x:v>
      </x:c>
      <x:c r="F5" s="7" t="n">
        <x:v>30</x:v>
      </x:c>
      <x:c r="G5" s="7" t="n">
        <x:v>15</x:v>
      </x:c>
      <x:c r="H5" s="6" t="str">
        <x:v>목표 확률 15%; 전체 판은 팩 지급 구현 후 적용</x:v>
      </x:c>
    </x:row>
    <x:row r="6" ht="15" hidden="0" customHeight="1">
      <x:c r="A6" s="7" t="n">
        <x:v>5</x:v>
      </x:c>
      <x:c r="B6" s="6" t="str">
        <x:v>roulette_default</x:v>
      </x:c>
      <x:c r="C6" s="7" t="n">
        <x:v>4</x:v>
      </x:c>
      <x:c r="D6" s="6" t="str">
        <x:v>Currency</x:v>
      </x:c>
      <x:c r="E6" s="6" t="str">
        <x:v>Diamond</x:v>
      </x:c>
      <x:c r="F6" s="7" t="n">
        <x:v>5</x:v>
      </x:c>
      <x:c r="G6" s="7" t="n">
        <x:v>8</x:v>
      </x:c>
      <x:c r="H6" s="6" t="str">
        <x:v>목표 확률 8%; 전체 판은 팩 지급 구현 후 적용</x:v>
      </x:c>
    </x:row>
    <x:row r="7" ht="15" hidden="0" customHeight="1">
      <x:c r="A7" s="7" t="n">
        <x:v>6</x:v>
      </x:c>
      <x:c r="B7" s="6" t="str">
        <x:v>roulette_default</x:v>
      </x:c>
      <x:c r="C7" s="7" t="n">
        <x:v>5</x:v>
      </x:c>
      <x:c r="D7" s="6" t="str">
        <x:v>Currency</x:v>
      </x:c>
      <x:c r="E7" s="6" t="str">
        <x:v>Energy</x:v>
      </x:c>
      <x:c r="F7" s="7" t="n">
        <x:v>20</x:v>
      </x:c>
      <x:c r="G7" s="7" t="n">
        <x:v>4</x:v>
      </x:c>
      <x:c r="H7" s="6" t="str">
        <x:v>에너지 제외; 조각 20; 목표 확률 4%</x:v>
      </x:c>
    </x:row>
    <x:row r="8" ht="24" hidden="0" customHeight="1">
      <x:c r="A8" s="7" t="n">
        <x:v>7</x:v>
      </x:c>
      <x:c r="B8" s="6" t="str">
        <x:v>roulette_default</x:v>
      </x:c>
      <x:c r="C8" s="7" t="n">
        <x:v>6</x:v>
      </x:c>
      <x:c r="D8" s="6" t="str">
        <x:v>Pack</x:v>
      </x:c>
      <x:c r="E8" s="6" t="str">
        <x:v>NormalPack_TEST</x:v>
      </x:c>
      <x:c r="F8" s="7" t="n">
        <x:v>1</x:v>
      </x:c>
      <x:c r="G8" s="7" t="n">
        <x:v>2</x:v>
      </x:c>
      <x:c r="H8" s="6" t="str">
        <x:v>목표 확률 2%; 팩 지급 및 미개봉 팩 권리 단일 소비 구현 대기; 현재 서버 미지원</x:v>
      </x:c>
    </x:row>
    <x:row r="9" ht="24" hidden="0" customHeight="1">
      <x:c r="A9" s="7" t="n">
        <x:v>8</x:v>
      </x:c>
      <x:c r="B9" s="6" t="str">
        <x:v>roulette_default</x:v>
      </x:c>
      <x:c r="C9" s="7" t="n">
        <x:v>7</x:v>
      </x:c>
      <x:c r="D9" s="6" t="str">
        <x:v>Pack</x:v>
      </x:c>
      <x:c r="E9" s="6" t="str">
        <x:v>NormalPack_TEST</x:v>
      </x:c>
      <x:c r="F9" s="7" t="n">
        <x:v>1</x:v>
      </x:c>
      <x:c r="G9" s="7" t="n">
        <x:v>1</x:v>
      </x:c>
      <x:c r="H9" s="6" t="str">
        <x:v>목표 확률 1%; 팩 지급 및 미개봉 팩 권리 단일 소비 구현 대기; 현재 서버 미지원</x:v>
      </x:c>
    </x:row>
    <x:row r="12">
      <x:c r="A12" t="str">
        <x:v>출처: docs/SpecData/RouletteSlot_sheet.csv / 2026-09-18 로컬 스냅샷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44" customHeight="1">
      <x:c r="A1" s="5" t="str">
        <x:v>id</x:v>
      </x:c>
      <x:c r="B1" s="5" t="str">
        <x:v>rouletteId</x:v>
      </x:c>
      <x:c r="C1" s="5" t="str">
        <x:v>displayName</x:v>
      </x:c>
      <x:c r="D1" s="5" t="str">
        <x:v>priceType</x:v>
      </x:c>
      <x:c r="E1" s="5" t="str">
        <x:v>price</x:v>
      </x:c>
      <x:c r="F1" s="5" t="str">
        <x:v>sortOrder</x:v>
      </x:c>
    </x:row>
    <x:row r="2" ht="15" hidden="0" customHeight="1">
      <x:c r="A2" s="7" t="n">
        <x:v>1</x:v>
      </x:c>
      <x:c r="B2" s="6" t="str">
        <x:v>roulette_default</x:v>
      </x:c>
      <x:c r="C2" s="6" t="str">
        <x:v>행운의 룰렛</x:v>
      </x:c>
      <x:c r="D2" s="6" t="str">
        <x:v>RouletteTicket</x:v>
      </x:c>
      <x:c r="E2" s="7" t="n">
        <x:v>1</x:v>
      </x:c>
      <x:c r="F2" s="7" t="n">
        <x:v>0</x:v>
      </x:c>
    </x:row>
    <x:row r="5">
      <x:c r="A5" t="str">
        <x:v>출처: docs/SpecData/Roulette_sheet.csv / 2026-09-18 로컬 스냅샷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2" hidden="0" customWidth="1"/>
  </x:cols>
  <x:sheetData>
    <x:row r="1" ht="44" customHeight="1">
      <x:c r="A1" s="5" t="str">
        <x:v>id</x:v>
      </x:c>
      <x:c r="B1" s="5" t="str">
        <x:v>synergyId</x:v>
      </x:c>
      <x:c r="C1" s="5" t="str">
        <x:v>displayName</x:v>
      </x:c>
      <x:c r="D1" s="5" t="str">
        <x:v>effectDescription</x:v>
      </x:c>
    </x:row>
    <x:row r="2" ht="15" hidden="0" customHeight="1">
      <x:c r="A2" s="7" t="n">
        <x:v>1</x:v>
      </x:c>
      <x:c r="B2" s="6" t="str">
        <x:v>Brand</x:v>
      </x:c>
      <x:c r="C2" s="6" t="str">
        <x:v>낙인</x:v>
      </x:c>
      <x:c r="D2" s="6" t="str">
        <x:v>공격하기 전에 필드의 낙인 카드 수만큼 피해를 한 번에 입힙니다</x:v>
      </x:c>
    </x:row>
    <x:row r="3" ht="15" hidden="0" customHeight="1">
      <x:c r="A3" s="7" t="n">
        <x:v>2</x:v>
      </x:c>
      <x:c r="B3" s="6" t="str">
        <x:v>Bulk</x:v>
      </x:c>
      <x:c r="C3" s="6" t="str">
        <x:v>덩치</x:v>
      </x:c>
      <x:c r="D3" s="6" t="str">
        <x:v>처음 전장에 배치될 때 추가 생명력을 얻습니다</x:v>
      </x:c>
    </x:row>
    <x:row r="4" ht="24" hidden="0" customHeight="1">
      <x:c r="A4" s="7" t="n">
        <x:v>3</x:v>
      </x:c>
      <x:c r="B4" s="6" t="str">
        <x:v>Caretaker</x:v>
      </x:c>
      <x:c r="C4" s="6" t="str">
        <x:v>돌보미</x:v>
      </x:c>
      <x:c r="D4" s="6" t="str">
        <x:v>돌보미 카드가 나올 때 필드의 돌보미를 회복시키고 추가 생명력을 부여합니다</x:v>
      </x:c>
    </x:row>
    <x:row r="5" ht="24" hidden="0" customHeight="1">
      <x:c r="A5" s="7" t="n">
        <x:v>4</x:v>
      </x:c>
      <x:c r="B5" s="6" t="str">
        <x:v>Flow</x:v>
      </x:c>
      <x:c r="C5" s="6" t="str">
        <x:v>흐름</x:v>
      </x:c>
      <x:c r="D5" s="6" t="str">
        <x:v>흐름 카드가 등장할 때마다 스택이 쌓이고 흐름 카드가 주는 피해가 스택만큼 늘어납니다</x:v>
      </x:c>
    </x:row>
    <x:row r="6" ht="24" hidden="0" customHeight="1">
      <x:c r="A6" s="7" t="n">
        <x:v>6</x:v>
      </x:c>
      <x:c r="B6" s="6" t="str">
        <x:v>Legacy</x:v>
      </x:c>
      <x:c r="C6" s="6" t="str">
        <x:v>유산</x:v>
      </x:c>
      <x:c r="D6" s="6" t="str">
        <x:v>턴이 시작될 때마다 스택이 쌓이고 쓰러질 때 다른 아군을 스택만큼 회복시킵니다</x:v>
      </x:c>
    </x:row>
    <x:row r="7" ht="24" hidden="0" customHeight="1">
      <x:c r="A7" s="7" t="n">
        <x:v>7</x:v>
      </x:c>
      <x:c r="B7" s="6" t="str">
        <x:v>Predator</x:v>
      </x:c>
      <x:c r="C7" s="6" t="str">
        <x:v>포식자</x:v>
      </x:c>
      <x:c r="D7" s="6" t="str">
        <x:v>공격하고 살아남으면 실제로 입힌 기본 공격 피해의 일부만큼 회복합니다</x:v>
      </x:c>
    </x:row>
    <x:row r="8" ht="15" hidden="0" customHeight="1">
      <x:c r="A8" s="7" t="n">
        <x:v>8</x:v>
      </x:c>
      <x:c r="B8" s="6" t="str">
        <x:v>Scale</x:v>
      </x:c>
      <x:c r="C8" s="6" t="str">
        <x:v>비늘</x:v>
      </x:c>
      <x:c r="D8" s="6" t="str">
        <x:v>공격으로 받는 피해가 줄어듭니다</x:v>
      </x:c>
    </x:row>
    <x:row r="9" ht="24" hidden="0" customHeight="1">
      <x:c r="A9" s="7" t="n">
        <x:v>9</x:v>
      </x:c>
      <x:c r="B9" s="6" t="str">
        <x:v>Trace</x:v>
      </x:c>
      <x:c r="C9" s="6" t="str">
        <x:v>추적</x:v>
      </x:c>
      <x:c r="D9" s="6" t="str">
        <x:v>공격한 뒤 살아남은 적에게 표식을 남기고 표식이 있던 적을 쓰러뜨리면 추가 생명력을 얻습니다</x:v>
      </x:c>
    </x:row>
    <x:row r="12">
      <x:c r="A12" t="str">
        <x:v>출처: docs/SpecData/SynergyDef_sheet.csv / 2026-09-18 로컬 스냅샷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</x:cols>
  <x:sheetData>
    <x:row r="1" ht="44" customHeight="1">
      <x:c r="A1" s="5" t="str">
        <x:v>id</x:v>
      </x:c>
      <x:c r="B1" s="5" t="str">
        <x:v>synergyId</x:v>
      </x:c>
      <x:c r="C1" s="5" t="str">
        <x:v>tierIndex</x:v>
      </x:c>
      <x:c r="D1" s="5" t="str">
        <x:v>effectOrder</x:v>
      </x:c>
      <x:c r="E1" s="5" t="str">
        <x:v>effectType</x:v>
      </x:c>
      <x:c r="F1" s="5" t="str">
        <x:v>parameters</x:v>
      </x:c>
    </x:row>
    <x:row r="2" ht="15" hidden="0" customHeight="1">
      <x:c r="A2" s="7" t="n">
        <x:v>1</x:v>
      </x:c>
      <x:c r="B2" s="6" t="str">
        <x:v>Brand</x:v>
      </x:c>
      <x:c r="C2" s="7" t="n">
        <x:v>0</x:v>
      </x:c>
      <x:c r="D2" s="7" t="n">
        <x:v>0</x:v>
      </x:c>
      <x:c r="E2" s="6" t="str">
        <x:v>Brand</x:v>
      </x:c>
      <x:c r="F2" s="6" t="str">
        <x:v>damagePerMember=1</x:v>
      </x:c>
    </x:row>
    <x:row r="3" ht="15" hidden="0" customHeight="1">
      <x:c r="A3" s="7" t="n">
        <x:v>2</x:v>
      </x:c>
      <x:c r="B3" s="6" t="str">
        <x:v>Brand</x:v>
      </x:c>
      <x:c r="C3" s="7" t="n">
        <x:v>1</x:v>
      </x:c>
      <x:c r="D3" s="7" t="n">
        <x:v>0</x:v>
      </x:c>
      <x:c r="E3" s="6" t="str">
        <x:v>Brand</x:v>
      </x:c>
      <x:c r="F3" s="6" t="str">
        <x:v>damagePerMember=2</x:v>
      </x:c>
    </x:row>
    <x:row r="4" ht="15" hidden="0" customHeight="1">
      <x:c r="A4" s="7" t="n">
        <x:v>3</x:v>
      </x:c>
      <x:c r="B4" s="6" t="str">
        <x:v>Bulk</x:v>
      </x:c>
      <x:c r="C4" s="7" t="n">
        <x:v>0</x:v>
      </x:c>
      <x:c r="D4" s="7" t="n">
        <x:v>0</x:v>
      </x:c>
      <x:c r="E4" s="6" t="str">
        <x:v>Stat</x:v>
      </x:c>
      <x:c r="F4" s="6" t="str">
        <x:v>bonusHp=3</x:v>
      </x:c>
    </x:row>
    <x:row r="5" ht="15" hidden="0" customHeight="1">
      <x:c r="A5" s="7" t="n">
        <x:v>4</x:v>
      </x:c>
      <x:c r="B5" s="6" t="str">
        <x:v>Bulk</x:v>
      </x:c>
      <x:c r="C5" s="7" t="n">
        <x:v>1</x:v>
      </x:c>
      <x:c r="D5" s="7" t="n">
        <x:v>0</x:v>
      </x:c>
      <x:c r="E5" s="6" t="str">
        <x:v>Stat</x:v>
      </x:c>
      <x:c r="F5" s="6" t="str">
        <x:v>bonusHp=6</x:v>
      </x:c>
    </x:row>
    <x:row r="6" ht="15" hidden="0" customHeight="1">
      <x:c r="A6" s="7" t="n">
        <x:v>5</x:v>
      </x:c>
      <x:c r="B6" s="6" t="str">
        <x:v>Caretaker</x:v>
      </x:c>
      <x:c r="C6" s="7" t="n">
        <x:v>0</x:v>
      </x:c>
      <x:c r="D6" s="7" t="n">
        <x:v>0</x:v>
      </x:c>
      <x:c r="E6" s="6" t="str">
        <x:v>Caretaker</x:v>
      </x:c>
      <x:c r="F6" s="6" t="str">
        <x:v>amount=1</x:v>
      </x:c>
    </x:row>
    <x:row r="7" ht="15" hidden="0" customHeight="1">
      <x:c r="A7" s="7" t="n">
        <x:v>6</x:v>
      </x:c>
      <x:c r="B7" s="6" t="str">
        <x:v>Caretaker</x:v>
      </x:c>
      <x:c r="C7" s="7" t="n">
        <x:v>1</x:v>
      </x:c>
      <x:c r="D7" s="7" t="n">
        <x:v>0</x:v>
      </x:c>
      <x:c r="E7" s="6" t="str">
        <x:v>Caretaker</x:v>
      </x:c>
      <x:c r="F7" s="6" t="str">
        <x:v>amount=2</x:v>
      </x:c>
    </x:row>
    <x:row r="8" ht="15" hidden="0" customHeight="1">
      <x:c r="A8" s="7" t="n">
        <x:v>7</x:v>
      </x:c>
      <x:c r="B8" s="6" t="str">
        <x:v>Flow</x:v>
      </x:c>
      <x:c r="C8" s="7" t="n">
        <x:v>0</x:v>
      </x:c>
      <x:c r="D8" s="7" t="n">
        <x:v>0</x:v>
      </x:c>
      <x:c r="E8" s="6" t="str">
        <x:v>Flow</x:v>
      </x:c>
      <x:c r="F8" s="6" t="str">
        <x:v>amount=1</x:v>
      </x:c>
    </x:row>
    <x:row r="9" ht="15" hidden="0" customHeight="1">
      <x:c r="A9" s="7" t="n">
        <x:v>8</x:v>
      </x:c>
      <x:c r="B9" s="6" t="str">
        <x:v>Flow</x:v>
      </x:c>
      <x:c r="C9" s="7" t="n">
        <x:v>1</x:v>
      </x:c>
      <x:c r="D9" s="7" t="n">
        <x:v>0</x:v>
      </x:c>
      <x:c r="E9" s="6" t="str">
        <x:v>Flow</x:v>
      </x:c>
      <x:c r="F9" s="6" t="str">
        <x:v>amount=2</x:v>
      </x:c>
    </x:row>
    <x:row r="10" ht="15" hidden="0" customHeight="1">
      <x:c r="A10" s="7" t="n">
        <x:v>10</x:v>
      </x:c>
      <x:c r="B10" s="6" t="str">
        <x:v>Legacy</x:v>
      </x:c>
      <x:c r="C10" s="7" t="n">
        <x:v>0</x:v>
      </x:c>
      <x:c r="D10" s="7" t="n">
        <x:v>0</x:v>
      </x:c>
      <x:c r="E10" s="6" t="str">
        <x:v>Legacy</x:v>
      </x:c>
      <x:c r="F10" s="6" t="str">
        <x:v>amount=1</x:v>
      </x:c>
    </x:row>
    <x:row r="11" ht="15" hidden="0" customHeight="1">
      <x:c r="A11" s="7" t="n">
        <x:v>11</x:v>
      </x:c>
      <x:c r="B11" s="6" t="str">
        <x:v>Legacy</x:v>
      </x:c>
      <x:c r="C11" s="7" t="n">
        <x:v>1</x:v>
      </x:c>
      <x:c r="D11" s="7" t="n">
        <x:v>0</x:v>
      </x:c>
      <x:c r="E11" s="6" t="str">
        <x:v>Legacy</x:v>
      </x:c>
      <x:c r="F11" s="6" t="str">
        <x:v>amount=2</x:v>
      </x:c>
    </x:row>
    <x:row r="12" ht="15" hidden="0" customHeight="1">
      <x:c r="A12" s="7" t="n">
        <x:v>12</x:v>
      </x:c>
      <x:c r="B12" s="6" t="str">
        <x:v>Predator</x:v>
      </x:c>
      <x:c r="C12" s="7" t="n">
        <x:v>0</x:v>
      </x:c>
      <x:c r="D12" s="7" t="n">
        <x:v>0</x:v>
      </x:c>
      <x:c r="E12" s="6" t="str">
        <x:v>Predator</x:v>
      </x:c>
      <x:c r="F12" s="6" t="str">
        <x:v>lifestealPercent=50</x:v>
      </x:c>
    </x:row>
    <x:row r="13" ht="15" hidden="0" customHeight="1">
      <x:c r="A13" s="7" t="n">
        <x:v>13</x:v>
      </x:c>
      <x:c r="B13" s="6" t="str">
        <x:v>Predator</x:v>
      </x:c>
      <x:c r="C13" s="7" t="n">
        <x:v>1</x:v>
      </x:c>
      <x:c r="D13" s="7" t="n">
        <x:v>0</x:v>
      </x:c>
      <x:c r="E13" s="6" t="str">
        <x:v>Predator</x:v>
      </x:c>
      <x:c r="F13" s="6" t="str">
        <x:v>lifestealPercent=75</x:v>
      </x:c>
    </x:row>
    <x:row r="14" ht="15" hidden="0" customHeight="1">
      <x:c r="A14" s="7" t="n">
        <x:v>14</x:v>
      </x:c>
      <x:c r="B14" s="6" t="str">
        <x:v>Scale</x:v>
      </x:c>
      <x:c r="C14" s="7" t="n">
        <x:v>0</x:v>
      </x:c>
      <x:c r="D14" s="7" t="n">
        <x:v>0</x:v>
      </x:c>
      <x:c r="E14" s="6" t="str">
        <x:v>Stat</x:v>
      </x:c>
      <x:c r="F14" s="6" t="str">
        <x:v>dmgReduction=1</x:v>
      </x:c>
    </x:row>
    <x:row r="15" ht="15" hidden="0" customHeight="1">
      <x:c r="A15" s="7" t="n">
        <x:v>15</x:v>
      </x:c>
      <x:c r="B15" s="6" t="str">
        <x:v>Scale</x:v>
      </x:c>
      <x:c r="C15" s="7" t="n">
        <x:v>1</x:v>
      </x:c>
      <x:c r="D15" s="7" t="n">
        <x:v>0</x:v>
      </x:c>
      <x:c r="E15" s="6" t="str">
        <x:v>Stat</x:v>
      </x:c>
      <x:c r="F15" s="6" t="str">
        <x:v>dmgReduction=2</x:v>
      </x:c>
    </x:row>
    <x:row r="16" ht="15" hidden="0" customHeight="1">
      <x:c r="A16" s="7" t="n">
        <x:v>16</x:v>
      </x:c>
      <x:c r="B16" s="6" t="str">
        <x:v>Trace</x:v>
      </x:c>
      <x:c r="C16" s="7" t="n">
        <x:v>0</x:v>
      </x:c>
      <x:c r="D16" s="7" t="n">
        <x:v>0</x:v>
      </x:c>
      <x:c r="E16" s="6" t="str">
        <x:v>Trace</x:v>
      </x:c>
      <x:c r="F16" s="6" t="str">
        <x:v>grantMarkOnAttack=1</x:v>
      </x:c>
    </x:row>
    <x:row r="17" ht="24" hidden="0" customHeight="1">
      <x:c r="A17" s="7" t="n">
        <x:v>17</x:v>
      </x:c>
      <x:c r="B17" s="6" t="str">
        <x:v>Trace</x:v>
      </x:c>
      <x:c r="C17" s="7" t="n">
        <x:v>1</x:v>
      </x:c>
      <x:c r="D17" s="7" t="n">
        <x:v>0</x:v>
      </x:c>
      <x:c r="E17" s="6" t="str">
        <x:v>Trace</x:v>
      </x:c>
      <x:c r="F17" s="6" t="str">
        <x:v>grantMarkOnAttack=1;bonusHpOnMarkedKill=2</x:v>
      </x:c>
    </x:row>
    <x:row r="20">
      <x:c r="A20" t="str">
        <x:v>출처: docs/SpecData/SynergyEffectDef_sheet.csv / 2026-09-18 로컬 스냅샷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</x:cols>
  <x:sheetData>
    <x:row r="1" ht="44" customHeight="1">
      <x:c r="A1" s="5" t="str">
        <x:v>id</x:v>
      </x:c>
      <x:c r="B1" s="5" t="str">
        <x:v>synergyId</x:v>
      </x:c>
      <x:c r="C1" s="5" t="str">
        <x:v>tierIndex</x:v>
      </x:c>
      <x:c r="D1" s="5" t="str">
        <x:v>requiredCount</x:v>
      </x:c>
      <x:c r="E1" s="5" t="str">
        <x:v>label</x:v>
      </x:c>
      <x:c r="F1" s="5" t="str">
        <x:v>effectSummary</x:v>
      </x:c>
    </x:row>
    <x:row r="2" ht="15" hidden="0" customHeight="1">
      <x:c r="A2" s="7" t="n">
        <x:v>1</x:v>
      </x:c>
      <x:c r="B2" s="6" t="str">
        <x:v>Brand</x:v>
      </x:c>
      <x:c r="C2" s="7" t="n">
        <x:v>0</x:v>
      </x:c>
      <x:c r="D2" s="7" t="n">
        <x:v>3</x:v>
      </x:c>
      <x:c r="E2" s="6" t="str">
        <x:v>낙인</x:v>
      </x:c>
      <x:c r="F2" s="6" t="str">
        <x:v>1명당 1 피해</x:v>
      </x:c>
    </x:row>
    <x:row r="3" ht="15" hidden="0" customHeight="1">
      <x:c r="A3" s="7" t="n">
        <x:v>2</x:v>
      </x:c>
      <x:c r="B3" s="6" t="str">
        <x:v>Brand</x:v>
      </x:c>
      <x:c r="C3" s="7" t="n">
        <x:v>1</x:v>
      </x:c>
      <x:c r="D3" s="7" t="n">
        <x:v>5</x:v>
      </x:c>
      <x:c r="E3" s="6" t="str">
        <x:v>낙인</x:v>
      </x:c>
      <x:c r="F3" s="6" t="str">
        <x:v>1명당 2 피해</x:v>
      </x:c>
    </x:row>
    <x:row r="4" ht="15" hidden="0" customHeight="1">
      <x:c r="A4" s="7" t="n">
        <x:v>3</x:v>
      </x:c>
      <x:c r="B4" s="6" t="str">
        <x:v>Bulk</x:v>
      </x:c>
      <x:c r="C4" s="7" t="n">
        <x:v>0</x:v>
      </x:c>
      <x:c r="D4" s="7" t="n">
        <x:v>2</x:v>
      </x:c>
      <x:c r="E4" s="6" t="str">
        <x:v>덩치</x:v>
      </x:c>
      <x:c r="F4" s="6" t="str">
        <x:v>추가 생명력 +3</x:v>
      </x:c>
    </x:row>
    <x:row r="5" ht="15" hidden="0" customHeight="1">
      <x:c r="A5" s="7" t="n">
        <x:v>4</x:v>
      </x:c>
      <x:c r="B5" s="6" t="str">
        <x:v>Bulk</x:v>
      </x:c>
      <x:c r="C5" s="7" t="n">
        <x:v>1</x:v>
      </x:c>
      <x:c r="D5" s="7" t="n">
        <x:v>4</x:v>
      </x:c>
      <x:c r="E5" s="6" t="str">
        <x:v>덩치</x:v>
      </x:c>
      <x:c r="F5" s="6" t="str">
        <x:v>추가 생명력 +6</x:v>
      </x:c>
    </x:row>
    <x:row r="6" ht="15" hidden="0" customHeight="1">
      <x:c r="A6" s="7" t="n">
        <x:v>5</x:v>
      </x:c>
      <x:c r="B6" s="6" t="str">
        <x:v>Caretaker</x:v>
      </x:c>
      <x:c r="C6" s="7" t="n">
        <x:v>0</x:v>
      </x:c>
      <x:c r="D6" s="7" t="n">
        <x:v>3</x:v>
      </x:c>
      <x:c r="E6" s="6" t="str">
        <x:v>돌보미</x:v>
      </x:c>
      <x:c r="F6" s="6" t="str">
        <x:v>추가 생명력 +1</x:v>
      </x:c>
    </x:row>
    <x:row r="7" ht="15" hidden="0" customHeight="1">
      <x:c r="A7" s="7" t="n">
        <x:v>6</x:v>
      </x:c>
      <x:c r="B7" s="6" t="str">
        <x:v>Caretaker</x:v>
      </x:c>
      <x:c r="C7" s="7" t="n">
        <x:v>1</x:v>
      </x:c>
      <x:c r="D7" s="7" t="n">
        <x:v>5</x:v>
      </x:c>
      <x:c r="E7" s="6" t="str">
        <x:v>돌보미</x:v>
      </x:c>
      <x:c r="F7" s="6" t="str">
        <x:v>추가 생명력 +2</x:v>
      </x:c>
    </x:row>
    <x:row r="8" ht="15" hidden="0" customHeight="1">
      <x:c r="A8" s="7" t="n">
        <x:v>7</x:v>
      </x:c>
      <x:c r="B8" s="6" t="str">
        <x:v>Flow</x:v>
      </x:c>
      <x:c r="C8" s="7" t="n">
        <x:v>0</x:v>
      </x:c>
      <x:c r="D8" s="7" t="n">
        <x:v>3</x:v>
      </x:c>
      <x:c r="E8" s="6" t="str">
        <x:v>흐름</x:v>
      </x:c>
      <x:c r="F8" s="6" t="str">
        <x:v>등장 시 스택 +1</x:v>
      </x:c>
    </x:row>
    <x:row r="9" ht="15" hidden="0" customHeight="1">
      <x:c r="A9" s="7" t="n">
        <x:v>8</x:v>
      </x:c>
      <x:c r="B9" s="6" t="str">
        <x:v>Flow</x:v>
      </x:c>
      <x:c r="C9" s="7" t="n">
        <x:v>1</x:v>
      </x:c>
      <x:c r="D9" s="7" t="n">
        <x:v>5</x:v>
      </x:c>
      <x:c r="E9" s="6" t="str">
        <x:v>흐름</x:v>
      </x:c>
      <x:c r="F9" s="6" t="str">
        <x:v>등장 시 스택 +2</x:v>
      </x:c>
    </x:row>
    <x:row r="10" ht="15" hidden="0" customHeight="1">
      <x:c r="A10" s="7" t="n">
        <x:v>10</x:v>
      </x:c>
      <x:c r="B10" s="6" t="str">
        <x:v>Legacy</x:v>
      </x:c>
      <x:c r="C10" s="7" t="n">
        <x:v>0</x:v>
      </x:c>
      <x:c r="D10" s="7" t="n">
        <x:v>2</x:v>
      </x:c>
      <x:c r="E10" s="6" t="str">
        <x:v>유산</x:v>
      </x:c>
      <x:c r="F10" s="6" t="str">
        <x:v>턴마다 스택 +1</x:v>
      </x:c>
    </x:row>
    <x:row r="11" ht="15" hidden="0" customHeight="1">
      <x:c r="A11" s="7" t="n">
        <x:v>11</x:v>
      </x:c>
      <x:c r="B11" s="6" t="str">
        <x:v>Legacy</x:v>
      </x:c>
      <x:c r="C11" s="7" t="n">
        <x:v>1</x:v>
      </x:c>
      <x:c r="D11" s="7" t="n">
        <x:v>4</x:v>
      </x:c>
      <x:c r="E11" s="6" t="str">
        <x:v>유산</x:v>
      </x:c>
      <x:c r="F11" s="6" t="str">
        <x:v>턴마다 스택 +2</x:v>
      </x:c>
    </x:row>
    <x:row r="12" ht="15" hidden="0" customHeight="1">
      <x:c r="A12" s="7" t="n">
        <x:v>12</x:v>
      </x:c>
      <x:c r="B12" s="6" t="str">
        <x:v>Predator</x:v>
      </x:c>
      <x:c r="C12" s="7" t="n">
        <x:v>0</x:v>
      </x:c>
      <x:c r="D12" s="7" t="n">
        <x:v>2</x:v>
      </x:c>
      <x:c r="E12" s="6" t="str">
        <x:v>포식자</x:v>
      </x:c>
      <x:c r="F12" s="6" t="str">
        <x:v>피해의 50% 회복</x:v>
      </x:c>
    </x:row>
    <x:row r="13" ht="15" hidden="0" customHeight="1">
      <x:c r="A13" s="7" t="n">
        <x:v>13</x:v>
      </x:c>
      <x:c r="B13" s="6" t="str">
        <x:v>Predator</x:v>
      </x:c>
      <x:c r="C13" s="7" t="n">
        <x:v>1</x:v>
      </x:c>
      <x:c r="D13" s="7" t="n">
        <x:v>4</x:v>
      </x:c>
      <x:c r="E13" s="6" t="str">
        <x:v>포식자</x:v>
      </x:c>
      <x:c r="F13" s="6" t="str">
        <x:v>피해의 75% 회복</x:v>
      </x:c>
    </x:row>
    <x:row r="14" ht="15" hidden="0" customHeight="1">
      <x:c r="A14" s="7" t="n">
        <x:v>14</x:v>
      </x:c>
      <x:c r="B14" s="6" t="str">
        <x:v>Scale</x:v>
      </x:c>
      <x:c r="C14" s="7" t="n">
        <x:v>0</x:v>
      </x:c>
      <x:c r="D14" s="7" t="n">
        <x:v>2</x:v>
      </x:c>
      <x:c r="E14" s="6" t="str">
        <x:v>비늘</x:v>
      </x:c>
      <x:c r="F14" s="6" t="str">
        <x:v>받는 피해 -1</x:v>
      </x:c>
    </x:row>
    <x:row r="15" ht="15" hidden="0" customHeight="1">
      <x:c r="A15" s="7" t="n">
        <x:v>15</x:v>
      </x:c>
      <x:c r="B15" s="6" t="str">
        <x:v>Scale</x:v>
      </x:c>
      <x:c r="C15" s="7" t="n">
        <x:v>1</x:v>
      </x:c>
      <x:c r="D15" s="7" t="n">
        <x:v>4</x:v>
      </x:c>
      <x:c r="E15" s="6" t="str">
        <x:v>비늘</x:v>
      </x:c>
      <x:c r="F15" s="6" t="str">
        <x:v>받는 피해 -2</x:v>
      </x:c>
    </x:row>
    <x:row r="16" ht="15" hidden="0" customHeight="1">
      <x:c r="A16" s="7" t="n">
        <x:v>16</x:v>
      </x:c>
      <x:c r="B16" s="6" t="str">
        <x:v>Trace</x:v>
      </x:c>
      <x:c r="C16" s="7" t="n">
        <x:v>0</x:v>
      </x:c>
      <x:c r="D16" s="7" t="n">
        <x:v>2</x:v>
      </x:c>
      <x:c r="E16" s="6" t="str">
        <x:v>추적</x:v>
      </x:c>
      <x:c r="F16" s="6" t="str">
        <x:v>표식 부여</x:v>
      </x:c>
    </x:row>
    <x:row r="17" ht="15" hidden="0" customHeight="1">
      <x:c r="A17" s="7" t="n">
        <x:v>17</x:v>
      </x:c>
      <x:c r="B17" s="6" t="str">
        <x:v>Trace</x:v>
      </x:c>
      <x:c r="C17" s="7" t="n">
        <x:v>1</x:v>
      </x:c>
      <x:c r="D17" s="7" t="n">
        <x:v>4</x:v>
      </x:c>
      <x:c r="E17" s="6" t="str">
        <x:v>추적</x:v>
      </x:c>
      <x:c r="F17" s="6" t="str">
        <x:v>표식 처치 시 생명력 +2</x:v>
      </x:c>
    </x:row>
    <x:row r="20">
      <x:c r="A20" t="str">
        <x:v>출처: docs/SpecData/SynergyTierDef_sheet.csv / 2026-09-18 로컬 스냅샷</x:v>
      </x:c>
    </x:row>
  </x:sheetData>
  <x:pageMargins left="0.7" right="0.7" top="0.75" bottom="0.75" header="0.3" footer="0.3"/>
</x:worksheet>
</file>